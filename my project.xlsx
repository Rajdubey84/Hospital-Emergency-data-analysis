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9d80aab24cc59488/Desktop/excel project/Hospital emergency data analyst/"/>
    </mc:Choice>
  </mc:AlternateContent>
  <xr:revisionPtr revIDLastSave="2506" documentId="8_{EC2E1B68-45EA-4595-91AD-3C87D39F864E}" xr6:coauthVersionLast="47" xr6:coauthVersionMax="47" xr10:uidLastSave="{7063C71B-FD0D-4DDD-BA5B-E9986080E427}"/>
  <bookViews>
    <workbookView minimized="1" xWindow="3348" yWindow="3348" windowWidth="17280" windowHeight="9960" xr2:uid="{A34C1091-09B9-4778-847E-10B1B61DF301}"/>
  </bookViews>
  <sheets>
    <sheet name="Pivot Report" sheetId="1" r:id="rId1"/>
    <sheet name="Dashboard" sheetId="2" r:id="rId2"/>
    <sheet name="Daily Emer No of Patient" sheetId="3" r:id="rId3"/>
    <sheet name="Avg Waittime daily trend" sheetId="4" r:id="rId4"/>
    <sheet name="Satisfaction Score daily trend "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f819c13-56e1-47dd-98e8-340f932078c1" name="Hospital Emergency Room Data" connection="Query - Hospital Emergency Room Data"/>
          <x15:modelTable id="Calender_Table_bfb2dd99-358a-477e-b017-8c9055a270a0" name="Calender_Table" connection="Query - Calender_Table"/>
        </x15:modelTables>
        <x15:modelRelationships>
          <x15:modelRelationship fromTable="Hospital Emergency Room Data" fromColumn="Patient Admission Dat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0" i="1" l="1"/>
  <c r="B50" i="1"/>
  <c r="C50" i="1"/>
  <c r="A51" i="1"/>
  <c r="B51" i="1"/>
  <c r="C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4AA746-B6CC-44FD-A59A-A46F8B9E912B}" name="Query - Calender_Table" description="Connection to the 'Calender_Table' query in the workbook." type="100" refreshedVersion="8" minRefreshableVersion="5">
    <extLst>
      <ext xmlns:x15="http://schemas.microsoft.com/office/spreadsheetml/2010/11/main" uri="{DE250136-89BD-433C-8126-D09CA5730AF9}">
        <x15:connection id="892f08c7-2d4c-4a64-8328-54d319b21d0e"/>
      </ext>
    </extLst>
  </connection>
  <connection id="2" xr16:uid="{09F33A2F-5A1D-4CB2-B5F8-55B8BEAB5BC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55a027c-98e6-452a-9ad0-3f9c6778b374"/>
      </ext>
    </extLst>
  </connection>
  <connection id="3" xr16:uid="{6454AB6D-8715-451B-8FB5-1014CF0513C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<sst xmlns="http://schemas.openxmlformats.org/spreadsheetml/2006/main" count="156" uniqueCount="77">
  <si>
    <t>Distinct Count of Patient Id</t>
  </si>
  <si>
    <t>No of Patient</t>
  </si>
  <si>
    <t>Average of Patient Waittime</t>
  </si>
  <si>
    <t>Average of Patient Satisfaction Score</t>
  </si>
  <si>
    <t>Grand Total</t>
  </si>
  <si>
    <t>Row Labels</t>
  </si>
  <si>
    <t xml:space="preserve">Daily Trends no of Patient </t>
  </si>
  <si>
    <t>Average Waittime</t>
  </si>
  <si>
    <t>* Showing a daily trend with an area sparkline to spot patterns like busy days or seasonal trends</t>
  </si>
  <si>
    <t>* Use an area chart to track daily changes and highlight days with longer wait times that might need improvements</t>
  </si>
  <si>
    <t>Satisfaction Score daily  trend</t>
  </si>
  <si>
    <t>* Use an area Chart to show trends, spot drops in satisfaction, and link them to busy times or challenges.</t>
  </si>
  <si>
    <t>Admitted</t>
  </si>
  <si>
    <t>Not Admitted</t>
  </si>
  <si>
    <t>Count of Patient Admission Flag</t>
  </si>
  <si>
    <t>Count of Patient Admission Flag2</t>
  </si>
  <si>
    <t>Delay</t>
  </si>
  <si>
    <t>OnTime</t>
  </si>
  <si>
    <t>Male</t>
  </si>
  <si>
    <t>60-69</t>
  </si>
  <si>
    <t>10-19</t>
  </si>
  <si>
    <t>70-79</t>
  </si>
  <si>
    <t>40-49</t>
  </si>
  <si>
    <t>50-59</t>
  </si>
  <si>
    <t>0-09</t>
  </si>
  <si>
    <t>20-29</t>
  </si>
  <si>
    <t>30-39</t>
  </si>
  <si>
    <t>Female</t>
  </si>
  <si>
    <t>Admission Status</t>
  </si>
  <si>
    <t>% Status</t>
  </si>
  <si>
    <t xml:space="preserve"> No. of  Patient</t>
  </si>
  <si>
    <t>Count of Age Group</t>
  </si>
  <si>
    <t>Age group wise Analysis</t>
  </si>
  <si>
    <t>Count of Patient Attend Status</t>
  </si>
  <si>
    <t>Attended Status</t>
  </si>
  <si>
    <t>Count of Patient Gender</t>
  </si>
  <si>
    <t>Gender wise</t>
  </si>
  <si>
    <t>Cardiology</t>
  </si>
  <si>
    <t>Gastroenterology</t>
  </si>
  <si>
    <t>General Practice</t>
  </si>
  <si>
    <t>Neurology</t>
  </si>
  <si>
    <t>None</t>
  </si>
  <si>
    <t>Orthopedics</t>
  </si>
  <si>
    <t>Physiotherapy</t>
  </si>
  <si>
    <t>Renal</t>
  </si>
  <si>
    <t>Count of Department Referral</t>
  </si>
  <si>
    <t>2023</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</si>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</sst>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Aptos Narrow"/>
      <family val="2"/>
      <scheme val="minor"/>
    </font>
    <font>
      <b/>
      <sz val="11"/>
      <color theme="1"/>
      <name val="Aptos Narrow"/>
      <family val="2"/>
      <scheme val="minor"/>
    </font>
    <font>
      <sz val="11"/>
      <color theme="0" tint="-0.499984740745262"/>
      <name val="Aptos Narrow"/>
      <family val="2"/>
      <scheme val="minor"/>
    </font>
    <font>
      <b/>
      <sz val="10"/>
      <color theme="1"/>
      <name val="Arial"/>
      <family val="2"/>
    </font>
    <font>
      <sz val="11"/>
      <color theme="1"/>
      <name val="Aptos Narrow"/>
      <family val="2"/>
      <scheme val="minor"/>
    </font>
    <font>
      <sz val="11"/>
      <color rgb="FFFFFFFF"/>
      <name val="Aptos Narrow"/>
      <family val="2"/>
      <scheme val="minor"/>
    </font>
    <font>
      <u/>
      <sz val="11"/>
      <color theme="1"/>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3" tint="0.499984740745262"/>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18">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2" fillId="3" borderId="0" xfId="0" applyFont="1" applyFill="1"/>
    <xf numFmtId="0" fontId="0" fillId="3" borderId="0" xfId="0" applyFill="1"/>
    <xf numFmtId="0" fontId="1" fillId="3" borderId="0" xfId="0" applyFont="1" applyFill="1"/>
    <xf numFmtId="0" fontId="3" fillId="3" borderId="0" xfId="0" applyFont="1" applyFill="1"/>
    <xf numFmtId="0" fontId="3" fillId="0" borderId="0" xfId="0" applyFont="1"/>
    <xf numFmtId="10" fontId="0" fillId="0" borderId="0" xfId="0" applyNumberFormat="1"/>
    <xf numFmtId="0" fontId="1" fillId="4" borderId="1" xfId="0" applyFont="1" applyFill="1" applyBorder="1"/>
    <xf numFmtId="1" fontId="0" fillId="0" borderId="0" xfId="0" applyNumberFormat="1"/>
    <xf numFmtId="0" fontId="5" fillId="5" borderId="0" xfId="0" applyFont="1" applyFill="1"/>
    <xf numFmtId="0" fontId="5" fillId="5" borderId="0" xfId="0" applyFont="1" applyFill="1" applyAlignment="1">
      <alignment horizontal="center"/>
    </xf>
    <xf numFmtId="0" fontId="0" fillId="0" borderId="0" xfId="0" applyAlignment="1">
      <alignment horizontal="center"/>
    </xf>
    <xf numFmtId="9" fontId="0" fillId="0" borderId="0" xfId="1" applyFont="1" applyAlignment="1">
      <alignment horizontal="center"/>
    </xf>
    <xf numFmtId="0" fontId="6" fillId="0" borderId="0" xfId="0" applyFont="1"/>
  </cellXfs>
  <cellStyles count="2">
    <cellStyle name="Normal" xfId="0" builtinId="0"/>
    <cellStyle name="Percent" xfId="1" builtinId="5"/>
  </cellStyles>
  <dxfs count="21">
    <dxf>
      <numFmt numFmtId="1" formatCode="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font>
        <b/>
        <color theme="1"/>
      </font>
      <border>
        <bottom style="thin">
          <color theme="5"/>
        </bottom>
        <vertical/>
        <horizontal/>
      </border>
    </dxf>
    <dxf>
      <font>
        <sz val="8"/>
        <color theme="1"/>
      </font>
      <fill>
        <patternFill>
          <bgColor theme="0" tint="-0.14996795556505021"/>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8"/>
        <color theme="1"/>
      </font>
      <fill>
        <patternFill>
          <bgColor theme="0" tint="-0.34998626667073579"/>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sz val="8"/>
        <color theme="1"/>
      </font>
      <fill>
        <patternFill>
          <bgColor theme="0" tint="-0.24994659260841701"/>
        </patternFill>
      </fill>
      <border diagonalUp="0" diagonalDown="0">
        <left/>
        <right/>
        <top/>
        <bottom/>
        <vertical/>
        <horizontal/>
      </border>
    </dxf>
  </dxfs>
  <tableStyles count="3" defaultTableStyle="TableStyleMedium2" defaultPivotStyle="PivotStyleLight16">
    <tableStyle name="My Style" pivot="0" table="0" count="10" xr9:uid="{09B5506A-B031-4616-96B2-3038267BF1CC}">
      <tableStyleElement type="wholeTable" dxfId="20"/>
      <tableStyleElement type="headerRow" dxfId="19"/>
    </tableStyle>
    <tableStyle name="My Style 2" pivot="0" table="0" count="10" xr9:uid="{CC84CC1D-DB6D-4EDC-9A45-8F375F7C10AD}">
      <tableStyleElement type="wholeTable" dxfId="18"/>
      <tableStyleElement type="headerRow" dxfId="17"/>
    </tableStyle>
    <tableStyle name="My Style 3" pivot="0" table="0" count="10" xr9:uid="{8F7F3BB9-340C-41EC-9622-4D2BB92C0C1D}">
      <tableStyleElement type="wholeTable" dxfId="16"/>
      <tableStyleElement type="headerRow" dxfId="15"/>
    </tableStyle>
  </tableStyles>
  <colors>
    <mruColors>
      <color rgb="FFFFFF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6147490551759646E-2"/>
              <c:y val="9.2103081769115997E-7"/>
            </c:manualLayout>
          </c:layout>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2828510170775155"/>
                  <c:h val="0.16314398200224969"/>
                </c:manualLayout>
              </c15:layout>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2757008080984273"/>
                  <c:h val="0.27417921254337996"/>
                </c:manualLayout>
              </c15:layout>
              <c15:showDataLabelsRange val="1"/>
            </c:ext>
          </c:extLst>
        </c:dLbl>
      </c:pivotFmt>
    </c:pivotFmts>
    <c:plotArea>
      <c:layout>
        <c:manualLayout>
          <c:layoutTarget val="inner"/>
          <c:xMode val="edge"/>
          <c:yMode val="edge"/>
          <c:x val="4.3476204169483126E-2"/>
          <c:y val="0.15768722394859194"/>
          <c:w val="0.81524579774405814"/>
          <c:h val="0.68462555210281617"/>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052-4873-9025-96C53F492420}"/>
              </c:ext>
            </c:extLst>
          </c:dPt>
          <c:dPt>
            <c:idx val="1"/>
            <c:invertIfNegative val="0"/>
            <c:bubble3D val="0"/>
            <c:extLst>
              <c:ext xmlns:c16="http://schemas.microsoft.com/office/drawing/2014/chart" uri="{C3380CC4-5D6E-409C-BE32-E72D297353CC}">
                <c16:uniqueId val="{00000001-E052-4873-9025-96C53F492420}"/>
              </c:ext>
            </c:extLst>
          </c:dPt>
          <c:dLbls>
            <c:dLbl>
              <c:idx val="0"/>
              <c:layout>
                <c:manualLayout>
                  <c:x val="-5.6147490551759646E-2"/>
                  <c:y val="9.2103081769115997E-7"/>
                </c:manualLayout>
              </c:layout>
              <c:showLegendKey val="0"/>
              <c:showVal val="0"/>
              <c:showCatName val="0"/>
              <c:showSerName val="0"/>
              <c:showPercent val="0"/>
              <c:showBubbleSize val="0"/>
              <c:extLst>
                <c:ext xmlns:c15="http://schemas.microsoft.com/office/drawing/2012/chart" uri="{CE6537A1-D6FC-4f65-9D91-7224C49458BB}">
                  <c15:layout>
                    <c:manualLayout>
                      <c:w val="0.32828510170775155"/>
                      <c:h val="0.16314398200224969"/>
                    </c:manualLayout>
                  </c15:layout>
                  <c15:showDataLabelsRange val="1"/>
                </c:ext>
                <c:ext xmlns:c16="http://schemas.microsoft.com/office/drawing/2014/chart" uri="{C3380CC4-5D6E-409C-BE32-E72D297353CC}">
                  <c16:uniqueId val="{00000000-E052-4873-9025-96C53F492420}"/>
                </c:ext>
              </c:extLst>
            </c:dLbl>
            <c:dLbl>
              <c:idx val="1"/>
              <c:showLegendKey val="0"/>
              <c:showVal val="0"/>
              <c:showCatName val="0"/>
              <c:showSerName val="0"/>
              <c:showPercent val="0"/>
              <c:showBubbleSize val="0"/>
              <c:extLst>
                <c:ext xmlns:c15="http://schemas.microsoft.com/office/drawing/2012/chart" uri="{CE6537A1-D6FC-4f65-9D91-7224C49458BB}">
                  <c15:layout>
                    <c:manualLayout>
                      <c:w val="0.32757008080984273"/>
                      <c:h val="0.27417921254337996"/>
                    </c:manualLayout>
                  </c15:layout>
                  <c15:showDataLabelsRange val="1"/>
                </c:ext>
                <c:ext xmlns:c16="http://schemas.microsoft.com/office/drawing/2014/chart" uri="{C3380CC4-5D6E-409C-BE32-E72D297353CC}">
                  <c16:uniqueId val="{00000001-E052-4873-9025-96C53F492420}"/>
                </c:ext>
              </c:extLst>
            </c:dLbl>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Report'!$A$41:$A$43</c:f>
              <c:strCache>
                <c:ptCount val="2"/>
                <c:pt idx="0">
                  <c:v>Admitted</c:v>
                </c:pt>
                <c:pt idx="1">
                  <c:v>Not Admitted</c:v>
                </c:pt>
              </c:strCache>
            </c:strRef>
          </c:cat>
          <c:val>
            <c:numRef>
              <c:f>'Pivot Report'!$B$41:$B$43</c:f>
              <c:numCache>
                <c:formatCode>0</c:formatCode>
                <c:ptCount val="2"/>
                <c:pt idx="0">
                  <c:v>231</c:v>
                </c:pt>
                <c:pt idx="1">
                  <c:v>233</c:v>
                </c:pt>
              </c:numCache>
            </c:numRef>
          </c:val>
          <c:extLst>
            <c:ext xmlns:c16="http://schemas.microsoft.com/office/drawing/2014/chart" uri="{C3380CC4-5D6E-409C-BE32-E72D297353CC}">
              <c16:uniqueId val="{00000003-99E7-41A7-9127-C6B188A1E8B6}"/>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0.49784482758620691</c:v>
                </c:pt>
                <c:pt idx="1">
                  <c:v>0.50215517241379315</c:v>
                </c:pt>
              </c:numCache>
            </c:numRef>
          </c:val>
          <c:extLst>
            <c:ext xmlns:c16="http://schemas.microsoft.com/office/drawing/2014/chart" uri="{C3380CC4-5D6E-409C-BE32-E72D297353CC}">
              <c16:uniqueId val="{00000004-99E7-41A7-9127-C6B188A1E8B6}"/>
            </c:ext>
          </c:extLst>
        </c:ser>
        <c:dLbls>
          <c:showLegendKey val="0"/>
          <c:showVal val="0"/>
          <c:showCatName val="0"/>
          <c:showSerName val="0"/>
          <c:showPercent val="0"/>
          <c:showBubbleSize val="0"/>
        </c:dLbls>
        <c:gapWidth val="0"/>
        <c:axId val="809032543"/>
        <c:axId val="1001947887"/>
      </c:barChart>
      <c:catAx>
        <c:axId val="809032543"/>
        <c:scaling>
          <c:orientation val="minMax"/>
        </c:scaling>
        <c:delete val="1"/>
        <c:axPos val="l"/>
        <c:numFmt formatCode="General" sourceLinked="1"/>
        <c:majorTickMark val="none"/>
        <c:minorTickMark val="none"/>
        <c:tickLblPos val="nextTo"/>
        <c:crossAx val="1001947887"/>
        <c:crosses val="autoZero"/>
        <c:auto val="1"/>
        <c:lblAlgn val="ctr"/>
        <c:lblOffset val="100"/>
        <c:noMultiLvlLbl val="0"/>
      </c:catAx>
      <c:valAx>
        <c:axId val="1001947887"/>
        <c:scaling>
          <c:orientation val="minMax"/>
        </c:scaling>
        <c:delete val="1"/>
        <c:axPos val="b"/>
        <c:numFmt formatCode="0" sourceLinked="1"/>
        <c:majorTickMark val="none"/>
        <c:minorTickMark val="none"/>
        <c:tickLblPos val="nextTo"/>
        <c:crossAx val="80903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Report!PivotTable2</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60532896243985E-2"/>
          <c:y val="7.4712650440098685E-2"/>
          <c:w val="0.85977635200320068"/>
          <c:h val="0.62968880710370234"/>
        </c:manualLayout>
      </c:layout>
      <c:areaChart>
        <c:grouping val="standard"/>
        <c:varyColors val="0"/>
        <c:ser>
          <c:idx val="0"/>
          <c:order val="0"/>
          <c:tx>
            <c:strRef>
              <c:f>'Pivot Report'!$D$5</c:f>
              <c:strCache>
                <c:ptCount val="1"/>
                <c:pt idx="0">
                  <c:v>Total</c:v>
                </c:pt>
              </c:strCache>
            </c:strRef>
          </c:tx>
          <c:spPr>
            <a:solidFill>
              <a:schemeClr val="accent1"/>
            </a:solidFill>
            <a:ln w="25400">
              <a:noFill/>
            </a:ln>
            <a:effectLst/>
          </c:spPr>
          <c:cat>
            <c:strRef>
              <c:f>'Pivot Report'!$C$6:$C$36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Report'!$D$6:$D$36</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2-813A-475F-88F4-7BD59E7AB0F8}"/>
            </c:ext>
          </c:extLst>
        </c:ser>
        <c:dLbls>
          <c:showLegendKey val="0"/>
          <c:showVal val="0"/>
          <c:showCatName val="0"/>
          <c:showSerName val="0"/>
          <c:showPercent val="0"/>
          <c:showBubbleSize val="0"/>
        </c:dLbls>
        <c:axId val="2098067231"/>
        <c:axId val="1877472175"/>
      </c:areaChart>
      <c:catAx>
        <c:axId val="2098067231"/>
        <c:scaling>
          <c:orientation val="minMax"/>
        </c:scaling>
        <c:delete val="1"/>
        <c:axPos val="b"/>
        <c:numFmt formatCode="General" sourceLinked="1"/>
        <c:majorTickMark val="out"/>
        <c:minorTickMark val="none"/>
        <c:tickLblPos val="nextTo"/>
        <c:crossAx val="1877472175"/>
        <c:crosses val="autoZero"/>
        <c:auto val="1"/>
        <c:lblAlgn val="ctr"/>
        <c:lblOffset val="100"/>
        <c:noMultiLvlLbl val="0"/>
      </c:catAx>
      <c:valAx>
        <c:axId val="1877472175"/>
        <c:scaling>
          <c:orientation val="minMax"/>
        </c:scaling>
        <c:delete val="1"/>
        <c:axPos val="l"/>
        <c:numFmt formatCode="General" sourceLinked="1"/>
        <c:majorTickMark val="none"/>
        <c:minorTickMark val="none"/>
        <c:tickLblPos val="nextTo"/>
        <c:crossAx val="20980672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296307529461361E-3"/>
          <c:y val="0"/>
          <c:w val="0.99037036924705391"/>
          <c:h val="0.99999999999999978"/>
        </c:manualLayout>
      </c:layout>
      <c:areaChart>
        <c:grouping val="standard"/>
        <c:varyColors val="0"/>
        <c:ser>
          <c:idx val="0"/>
          <c:order val="0"/>
          <c:tx>
            <c:strRef>
              <c:f>'Pivot Report'!$H$5</c:f>
              <c:strCache>
                <c:ptCount val="1"/>
                <c:pt idx="0">
                  <c:v>Total</c:v>
                </c:pt>
              </c:strCache>
            </c:strRef>
          </c:tx>
          <c:spPr>
            <a:solidFill>
              <a:schemeClr val="accent1"/>
            </a:solidFill>
            <a:ln w="25400">
              <a:noFill/>
            </a:ln>
            <a:effectLst/>
          </c:spPr>
          <c:cat>
            <c:strRef>
              <c:f>'Pivot Report'!$G$6:$G$36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Report'!$H$6:$H$36</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2-798A-484A-95C0-8ECBEF1AD441}"/>
            </c:ext>
          </c:extLst>
        </c:ser>
        <c:dLbls>
          <c:showLegendKey val="0"/>
          <c:showVal val="0"/>
          <c:showCatName val="0"/>
          <c:showSerName val="0"/>
          <c:showPercent val="0"/>
          <c:showBubbleSize val="0"/>
        </c:dLbls>
        <c:axId val="1966370079"/>
        <c:axId val="1889524207"/>
      </c:areaChart>
      <c:catAx>
        <c:axId val="1966370079"/>
        <c:scaling>
          <c:orientation val="minMax"/>
        </c:scaling>
        <c:delete val="1"/>
        <c:axPos val="b"/>
        <c:numFmt formatCode="General" sourceLinked="1"/>
        <c:majorTickMark val="out"/>
        <c:minorTickMark val="none"/>
        <c:tickLblPos val="nextTo"/>
        <c:crossAx val="1889524207"/>
        <c:crosses val="autoZero"/>
        <c:auto val="1"/>
        <c:lblAlgn val="ctr"/>
        <c:lblOffset val="100"/>
        <c:noMultiLvlLbl val="0"/>
      </c:catAx>
      <c:valAx>
        <c:axId val="1889524207"/>
        <c:scaling>
          <c:orientation val="minMax"/>
        </c:scaling>
        <c:delete val="1"/>
        <c:axPos val="l"/>
        <c:numFmt formatCode="0.00" sourceLinked="1"/>
        <c:majorTickMark val="none"/>
        <c:minorTickMark val="none"/>
        <c:tickLblPos val="nextTo"/>
        <c:crossAx val="1966370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Report!PivotTable6</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Report'!$L$5</c:f>
              <c:strCache>
                <c:ptCount val="1"/>
                <c:pt idx="0">
                  <c:v>Total</c:v>
                </c:pt>
              </c:strCache>
            </c:strRef>
          </c:tx>
          <c:spPr>
            <a:solidFill>
              <a:schemeClr val="accent1"/>
            </a:solidFill>
            <a:ln w="25400">
              <a:noFill/>
            </a:ln>
            <a:effectLst/>
          </c:spPr>
          <c:cat>
            <c:strRef>
              <c:f>'Pivot Report'!$K$6:$K$36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Report'!$L$6:$L$36</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2-6F26-40AC-9A9A-B4DE863B5545}"/>
            </c:ext>
          </c:extLst>
        </c:ser>
        <c:dLbls>
          <c:showLegendKey val="0"/>
          <c:showVal val="0"/>
          <c:showCatName val="0"/>
          <c:showSerName val="0"/>
          <c:showPercent val="0"/>
          <c:showBubbleSize val="0"/>
        </c:dLbls>
        <c:axId val="1618021152"/>
        <c:axId val="1726486224"/>
      </c:areaChart>
      <c:catAx>
        <c:axId val="1618021152"/>
        <c:scaling>
          <c:orientation val="minMax"/>
        </c:scaling>
        <c:delete val="1"/>
        <c:axPos val="b"/>
        <c:numFmt formatCode="General" sourceLinked="1"/>
        <c:majorTickMark val="out"/>
        <c:minorTickMark val="none"/>
        <c:tickLblPos val="nextTo"/>
        <c:crossAx val="1726486224"/>
        <c:crosses val="autoZero"/>
        <c:auto val="1"/>
        <c:lblAlgn val="ctr"/>
        <c:lblOffset val="100"/>
        <c:noMultiLvlLbl val="0"/>
      </c:catAx>
      <c:valAx>
        <c:axId val="1726486224"/>
        <c:scaling>
          <c:orientation val="minMax"/>
        </c:scaling>
        <c:delete val="1"/>
        <c:axPos val="l"/>
        <c:numFmt formatCode="0.00" sourceLinked="1"/>
        <c:majorTickMark val="none"/>
        <c:minorTickMark val="none"/>
        <c:tickLblPos val="nextTo"/>
        <c:crossAx val="16180211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056026826355548E-2"/>
          <c:y val="9.7222222222222224E-2"/>
          <c:w val="0.91988794634728888"/>
          <c:h val="0.63293963254593177"/>
        </c:manualLayout>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0-09</c:v>
                </c:pt>
                <c:pt idx="1">
                  <c:v>10-19</c:v>
                </c:pt>
                <c:pt idx="2">
                  <c:v>20-29</c:v>
                </c:pt>
                <c:pt idx="3">
                  <c:v>30-39</c:v>
                </c:pt>
                <c:pt idx="4">
                  <c:v>40-49</c:v>
                </c:pt>
                <c:pt idx="5">
                  <c:v>50-59</c:v>
                </c:pt>
                <c:pt idx="6">
                  <c:v>60-69</c:v>
                </c:pt>
                <c:pt idx="7">
                  <c:v>70-79</c:v>
                </c:pt>
              </c:strCache>
            </c:strRef>
          </c:cat>
          <c:val>
            <c:numRef>
              <c:f>'Pivot Report'!$B$55:$B$63</c:f>
              <c:numCache>
                <c:formatCode>0</c:formatCode>
                <c:ptCount val="8"/>
                <c:pt idx="0">
                  <c:v>63</c:v>
                </c:pt>
                <c:pt idx="1">
                  <c:v>65</c:v>
                </c:pt>
                <c:pt idx="2">
                  <c:v>49</c:v>
                </c:pt>
                <c:pt idx="3">
                  <c:v>61</c:v>
                </c:pt>
                <c:pt idx="4">
                  <c:v>56</c:v>
                </c:pt>
                <c:pt idx="5">
                  <c:v>61</c:v>
                </c:pt>
                <c:pt idx="6">
                  <c:v>62</c:v>
                </c:pt>
                <c:pt idx="7">
                  <c:v>47</c:v>
                </c:pt>
              </c:numCache>
            </c:numRef>
          </c:val>
          <c:extLst>
            <c:ext xmlns:c16="http://schemas.microsoft.com/office/drawing/2014/chart" uri="{C3380CC4-5D6E-409C-BE32-E72D297353CC}">
              <c16:uniqueId val="{00000002-32B7-428B-8A0D-938734ACE049}"/>
            </c:ext>
          </c:extLst>
        </c:ser>
        <c:dLbls>
          <c:showLegendKey val="0"/>
          <c:showVal val="0"/>
          <c:showCatName val="0"/>
          <c:showSerName val="0"/>
          <c:showPercent val="0"/>
          <c:showBubbleSize val="0"/>
        </c:dLbls>
        <c:gapWidth val="219"/>
        <c:overlap val="-27"/>
        <c:axId val="959861007"/>
        <c:axId val="925687631"/>
      </c:barChart>
      <c:catAx>
        <c:axId val="9598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925687631"/>
        <c:crosses val="autoZero"/>
        <c:auto val="1"/>
        <c:lblAlgn val="ctr"/>
        <c:lblOffset val="100"/>
        <c:noMultiLvlLbl val="0"/>
      </c:catAx>
      <c:valAx>
        <c:axId val="925687631"/>
        <c:scaling>
          <c:orientation val="minMax"/>
        </c:scaling>
        <c:delete val="1"/>
        <c:axPos val="l"/>
        <c:numFmt formatCode="0" sourceLinked="1"/>
        <c:majorTickMark val="none"/>
        <c:minorTickMark val="none"/>
        <c:tickLblPos val="nextTo"/>
        <c:crossAx val="95986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Report!PivotTable13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178485628186218"/>
                  <c:h val="0.25281137144542681"/>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25724251631204353"/>
                  <c:h val="0.25281137144542681"/>
                </c:manualLayout>
              </c15:layout>
            </c:ext>
          </c:extLst>
        </c:dLbl>
      </c:pivotFmt>
    </c:pivotFmts>
    <c:plotArea>
      <c:layout>
        <c:manualLayout>
          <c:layoutTarget val="inner"/>
          <c:xMode val="edge"/>
          <c:yMode val="edge"/>
          <c:x val="0.14051544041354347"/>
          <c:y val="0.15264315951433788"/>
          <c:w val="0.7495537161370972"/>
          <c:h val="0.770568492550045"/>
        </c:manualLayout>
      </c:layout>
      <c:pieChart>
        <c:varyColors val="1"/>
        <c:ser>
          <c:idx val="0"/>
          <c:order val="0"/>
          <c:tx>
            <c:strRef>
              <c:f>'Pivot Report'!$B$67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097-4CAB-9273-288D4BC6A060}"/>
              </c:ext>
            </c:extLst>
          </c:dPt>
          <c:dPt>
            <c:idx val="1"/>
            <c:bubble3D val="0"/>
            <c:spPr>
              <a:solidFill>
                <a:schemeClr val="accent2"/>
              </a:solidFill>
              <a:ln>
                <a:noFill/>
              </a:ln>
              <a:effectLst/>
            </c:spPr>
            <c:extLst>
              <c:ext xmlns:c16="http://schemas.microsoft.com/office/drawing/2014/chart" uri="{C3380CC4-5D6E-409C-BE32-E72D297353CC}">
                <c16:uniqueId val="{00000003-2097-4CAB-9273-288D4BC6A060}"/>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2178485628186218"/>
                      <c:h val="0.25281137144542681"/>
                    </c:manualLayout>
                  </c15:layout>
                </c:ext>
                <c:ext xmlns:c16="http://schemas.microsoft.com/office/drawing/2014/chart" uri="{C3380CC4-5D6E-409C-BE32-E72D297353CC}">
                  <c16:uniqueId val="{00000001-2097-4CAB-9273-288D4BC6A060}"/>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25724251631204353"/>
                      <c:h val="0.25281137144542681"/>
                    </c:manualLayout>
                  </c15:layout>
                </c:ext>
                <c:ext xmlns:c16="http://schemas.microsoft.com/office/drawing/2014/chart" uri="{C3380CC4-5D6E-409C-BE32-E72D297353CC}">
                  <c16:uniqueId val="{00000003-2097-4CAB-9273-288D4BC6A06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Report'!$A$68:$A$70</c:f>
              <c:strCache>
                <c:ptCount val="2"/>
                <c:pt idx="0">
                  <c:v>Delay</c:v>
                </c:pt>
                <c:pt idx="1">
                  <c:v>OnTime</c:v>
                </c:pt>
              </c:strCache>
            </c:strRef>
          </c:cat>
          <c:val>
            <c:numRef>
              <c:f>'Pivot Report'!$B$68:$B$70</c:f>
              <c:numCache>
                <c:formatCode>0</c:formatCode>
                <c:ptCount val="2"/>
                <c:pt idx="0">
                  <c:v>267</c:v>
                </c:pt>
                <c:pt idx="1">
                  <c:v>197</c:v>
                </c:pt>
              </c:numCache>
            </c:numRef>
          </c:val>
          <c:extLst>
            <c:ext xmlns:c16="http://schemas.microsoft.com/office/drawing/2014/chart" uri="{C3380CC4-5D6E-409C-BE32-E72D297353CC}">
              <c16:uniqueId val="{00000006-0C64-46DE-88E2-A0E37565008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7442483378086934"/>
          <c:y val="3.6503678592150347E-2"/>
          <c:w val="0.75350524255240792"/>
          <c:h val="0.1366722811664723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Report!PivotTable14</c:name>
    <c:fmtId val="17"/>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7459263117782992"/>
          <c:y val="0.15098567157524714"/>
          <c:w val="0.70178476031989634"/>
          <c:h val="0.73609372429099051"/>
        </c:manualLayout>
      </c:layout>
      <c:doughnutChart>
        <c:varyColors val="1"/>
        <c:ser>
          <c:idx val="0"/>
          <c:order val="0"/>
          <c:tx>
            <c:strRef>
              <c:f>'Pivot Report'!$B$73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A87-4337-815E-433841F3AE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A87-4337-815E-433841F3AE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Female</c:v>
                </c:pt>
                <c:pt idx="1">
                  <c:v>Male</c:v>
                </c:pt>
              </c:strCache>
            </c:strRef>
          </c:cat>
          <c:val>
            <c:numRef>
              <c:f>'Pivot Report'!$B$74:$B$76</c:f>
              <c:numCache>
                <c:formatCode>0.00</c:formatCode>
                <c:ptCount val="2"/>
                <c:pt idx="0">
                  <c:v>227</c:v>
                </c:pt>
                <c:pt idx="1">
                  <c:v>237</c:v>
                </c:pt>
              </c:numCache>
            </c:numRef>
          </c:val>
          <c:extLst>
            <c:ext xmlns:c16="http://schemas.microsoft.com/office/drawing/2014/chart" uri="{C3380CC4-5D6E-409C-BE32-E72D297353CC}">
              <c16:uniqueId val="{00000003-BB4E-433E-A810-FAD472EB576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780462697432197"/>
          <c:y val="4.6534586650308948E-2"/>
          <c:w val="0.68830420601098441"/>
          <c:h val="0.118777993201637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Report!PivotTable7</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40873429644885"/>
          <c:y val="7.074829553011433E-2"/>
          <c:w val="0.59719828342953807"/>
          <c:h val="0.74113505055787388"/>
        </c:manualLayout>
      </c:layout>
      <c:barChart>
        <c:barDir val="bar"/>
        <c:grouping val="clustered"/>
        <c:varyColors val="0"/>
        <c:ser>
          <c:idx val="0"/>
          <c:order val="0"/>
          <c:tx>
            <c:strRef>
              <c:f>'Pivot Report'!$B$80</c:f>
              <c:strCache>
                <c:ptCount val="1"/>
                <c:pt idx="0">
                  <c:v>Total</c:v>
                </c:pt>
              </c:strCache>
            </c:strRef>
          </c:tx>
          <c:spPr>
            <a:solidFill>
              <a:schemeClr val="accent1"/>
            </a:solidFill>
            <a:ln>
              <a:noFill/>
            </a:ln>
            <a:effectLst>
              <a:outerShdw blurRad="50800" dist="50800" dir="5400000" sx="1000" sy="1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Report'!$A$81:$A$89</c:f>
              <c:strCache>
                <c:ptCount val="8"/>
                <c:pt idx="0">
                  <c:v>Renal</c:v>
                </c:pt>
                <c:pt idx="1">
                  <c:v>Neurology</c:v>
                </c:pt>
                <c:pt idx="2">
                  <c:v>Cardiology</c:v>
                </c:pt>
                <c:pt idx="3">
                  <c:v>Gastroenterology</c:v>
                </c:pt>
                <c:pt idx="4">
                  <c:v>Physiotherapy</c:v>
                </c:pt>
                <c:pt idx="5">
                  <c:v>Orthopedics</c:v>
                </c:pt>
                <c:pt idx="6">
                  <c:v>General Practice</c:v>
                </c:pt>
                <c:pt idx="7">
                  <c:v>None</c:v>
                </c:pt>
              </c:strCache>
            </c:strRef>
          </c:cat>
          <c:val>
            <c:numRef>
              <c:f>'Pivot Report'!$B$81:$B$89</c:f>
              <c:numCache>
                <c:formatCode>0</c:formatCode>
                <c:ptCount val="8"/>
                <c:pt idx="0">
                  <c:v>2</c:v>
                </c:pt>
                <c:pt idx="1">
                  <c:v>6</c:v>
                </c:pt>
                <c:pt idx="2">
                  <c:v>13</c:v>
                </c:pt>
                <c:pt idx="3">
                  <c:v>14</c:v>
                </c:pt>
                <c:pt idx="4">
                  <c:v>19</c:v>
                </c:pt>
                <c:pt idx="5">
                  <c:v>67</c:v>
                </c:pt>
                <c:pt idx="6">
                  <c:v>91</c:v>
                </c:pt>
                <c:pt idx="7">
                  <c:v>252</c:v>
                </c:pt>
              </c:numCache>
            </c:numRef>
          </c:val>
          <c:extLst>
            <c:ext xmlns:c16="http://schemas.microsoft.com/office/drawing/2014/chart" uri="{C3380CC4-5D6E-409C-BE32-E72D297353CC}">
              <c16:uniqueId val="{00000003-E338-4854-990A-714A9EEEBF1D}"/>
            </c:ext>
          </c:extLst>
        </c:ser>
        <c:dLbls>
          <c:showLegendKey val="0"/>
          <c:showVal val="0"/>
          <c:showCatName val="0"/>
          <c:showSerName val="0"/>
          <c:showPercent val="0"/>
          <c:showBubbleSize val="0"/>
        </c:dLbls>
        <c:gapWidth val="30"/>
        <c:axId val="1954504848"/>
        <c:axId val="1954511088"/>
      </c:barChart>
      <c:catAx>
        <c:axId val="195450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4511088"/>
        <c:crosses val="autoZero"/>
        <c:auto val="1"/>
        <c:lblAlgn val="ctr"/>
        <c:lblOffset val="100"/>
        <c:noMultiLvlLbl val="0"/>
      </c:catAx>
      <c:valAx>
        <c:axId val="19545110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5450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Report!PivotTable2</c:name>
    <c:fmtId val="11"/>
  </c:pivotSource>
  <c:chart>
    <c:title>
      <c:overlay val="0"/>
      <c:spPr>
        <a:noFill/>
        <a:ln>
          <a:noFill/>
        </a:ln>
        <a:effectLst/>
      </c:spPr>
      <c:txPr>
        <a:bodyPr rot="0" spcFirstLastPara="1" vertOverflow="ellipsis" vert="horz" wrap="square" anchor="ctr" anchorCtr="1"/>
        <a:lstStyle/>
        <a:p>
          <a:pPr>
            <a:defRPr sz="1260" b="1" i="0" u="none" strike="noStrike" kern="1200" baseline="0">
              <a:solidFill>
                <a:schemeClr val="lt1">
                  <a:lumMod val="85000"/>
                </a:schemeClr>
              </a:solidFill>
              <a:latin typeface="+mj-lt"/>
              <a:ea typeface="+mj-ea"/>
              <a:cs typeface="+mj-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60532896243985E-2"/>
          <c:y val="7.4712650440098685E-2"/>
          <c:w val="0.85977635200320068"/>
          <c:h val="0.62968880710370234"/>
        </c:manualLayout>
      </c:layout>
      <c:areaChart>
        <c:grouping val="standard"/>
        <c:varyColors val="0"/>
        <c:ser>
          <c:idx val="0"/>
          <c:order val="0"/>
          <c:tx>
            <c:strRef>
              <c:f>'Pivot Report'!$D$5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Report'!$C$6:$C$36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Report'!$D$6:$D$36</c:f>
              <c:numCache>
                <c:formatCode>General</c:formatCode>
                <c:ptCount val="30"/>
                <c:pt idx="0">
                  <c:v>17</c:v>
                </c:pt>
                <c:pt idx="1">
                  <c:v>12</c:v>
                </c:pt>
                <c:pt idx="2">
                  <c:v>14</c:v>
                </c:pt>
                <c:pt idx="3">
                  <c:v>17</c:v>
                </c:pt>
                <c:pt idx="4">
                  <c:v>17</c:v>
                </c:pt>
                <c:pt idx="5">
                  <c:v>16</c:v>
                </c:pt>
                <c:pt idx="6">
                  <c:v>19</c:v>
                </c:pt>
                <c:pt idx="7">
                  <c:v>14</c:v>
                </c:pt>
                <c:pt idx="8">
                  <c:v>17</c:v>
                </c:pt>
                <c:pt idx="9">
                  <c:v>13</c:v>
                </c:pt>
                <c:pt idx="10">
                  <c:v>12</c:v>
                </c:pt>
                <c:pt idx="11">
                  <c:v>16</c:v>
                </c:pt>
                <c:pt idx="12">
                  <c:v>9</c:v>
                </c:pt>
                <c:pt idx="13">
                  <c:v>17</c:v>
                </c:pt>
                <c:pt idx="14">
                  <c:v>16</c:v>
                </c:pt>
                <c:pt idx="15">
                  <c:v>17</c:v>
                </c:pt>
                <c:pt idx="16">
                  <c:v>21</c:v>
                </c:pt>
                <c:pt idx="17">
                  <c:v>15</c:v>
                </c:pt>
                <c:pt idx="18">
                  <c:v>22</c:v>
                </c:pt>
                <c:pt idx="19">
                  <c:v>14</c:v>
                </c:pt>
                <c:pt idx="20">
                  <c:v>13</c:v>
                </c:pt>
                <c:pt idx="21">
                  <c:v>10</c:v>
                </c:pt>
                <c:pt idx="22">
                  <c:v>17</c:v>
                </c:pt>
                <c:pt idx="23">
                  <c:v>17</c:v>
                </c:pt>
                <c:pt idx="24">
                  <c:v>13</c:v>
                </c:pt>
                <c:pt idx="25">
                  <c:v>11</c:v>
                </c:pt>
                <c:pt idx="26">
                  <c:v>19</c:v>
                </c:pt>
                <c:pt idx="27">
                  <c:v>16</c:v>
                </c:pt>
                <c:pt idx="28">
                  <c:v>15</c:v>
                </c:pt>
                <c:pt idx="29">
                  <c:v>18</c:v>
                </c:pt>
              </c:numCache>
            </c:numRef>
          </c:val>
          <c:extLst>
            <c:ext xmlns:c16="http://schemas.microsoft.com/office/drawing/2014/chart" uri="{C3380CC4-5D6E-409C-BE32-E72D297353CC}">
              <c16:uniqueId val="{00000001-2DA3-48DB-AE7A-416F1B841E1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098067231"/>
        <c:axId val="1877472175"/>
      </c:areaChart>
      <c:catAx>
        <c:axId val="209806723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50" b="1" i="0" u="none" strike="noStrike" kern="1200" cap="all" baseline="0">
                <a:solidFill>
                  <a:schemeClr val="lt1">
                    <a:lumMod val="85000"/>
                  </a:schemeClr>
                </a:solidFill>
                <a:latin typeface="+mn-lt"/>
                <a:ea typeface="+mn-ea"/>
                <a:cs typeface="+mn-cs"/>
              </a:defRPr>
            </a:pPr>
            <a:endParaRPr lang="en-US"/>
          </a:p>
        </c:txPr>
        <c:crossAx val="1877472175"/>
        <c:crosses val="autoZero"/>
        <c:auto val="1"/>
        <c:lblAlgn val="ctr"/>
        <c:lblOffset val="100"/>
        <c:noMultiLvlLbl val="0"/>
      </c:catAx>
      <c:valAx>
        <c:axId val="18774721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75000"/>
                  </a:schemeClr>
                </a:solidFill>
                <a:latin typeface="+mn-lt"/>
                <a:ea typeface="+mn-ea"/>
                <a:cs typeface="+mn-cs"/>
              </a:defRPr>
            </a:pPr>
            <a:endParaRPr lang="en-US"/>
          </a:p>
        </c:txPr>
        <c:crossAx val="2098067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Report!PivotTable5</c:name>
    <c:fmtId val="17"/>
  </c:pivotSource>
  <c:chart>
    <c:title>
      <c:overlay val="0"/>
      <c:spPr>
        <a:noFill/>
        <a:ln>
          <a:noFill/>
        </a:ln>
        <a:effectLst/>
      </c:spPr>
      <c:txPr>
        <a:bodyPr rot="0" spcFirstLastPara="1" vertOverflow="ellipsis" vert="horz" wrap="square" anchor="ctr" anchorCtr="1"/>
        <a:lstStyle/>
        <a:p>
          <a:pPr>
            <a:defRPr sz="84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Report'!$H$5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Report'!$G$6:$G$36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Report'!$H$6:$H$36</c:f>
              <c:numCache>
                <c:formatCode>0.00</c:formatCode>
                <c:ptCount val="30"/>
                <c:pt idx="0">
                  <c:v>35.117647058823529</c:v>
                </c:pt>
                <c:pt idx="1">
                  <c:v>28.916666666666668</c:v>
                </c:pt>
                <c:pt idx="2">
                  <c:v>34.357142857142854</c:v>
                </c:pt>
                <c:pt idx="3">
                  <c:v>29.705882352941178</c:v>
                </c:pt>
                <c:pt idx="4">
                  <c:v>33.176470588235297</c:v>
                </c:pt>
                <c:pt idx="5">
                  <c:v>39.8125</c:v>
                </c:pt>
                <c:pt idx="6">
                  <c:v>36.578947368421055</c:v>
                </c:pt>
                <c:pt idx="7">
                  <c:v>34.5</c:v>
                </c:pt>
                <c:pt idx="8">
                  <c:v>39.764705882352942</c:v>
                </c:pt>
                <c:pt idx="9">
                  <c:v>35.230769230769234</c:v>
                </c:pt>
                <c:pt idx="10">
                  <c:v>41.5</c:v>
                </c:pt>
                <c:pt idx="11">
                  <c:v>38.0625</c:v>
                </c:pt>
                <c:pt idx="12">
                  <c:v>29.222222222222221</c:v>
                </c:pt>
                <c:pt idx="13">
                  <c:v>31</c:v>
                </c:pt>
                <c:pt idx="14">
                  <c:v>37.3125</c:v>
                </c:pt>
                <c:pt idx="15">
                  <c:v>35.647058823529413</c:v>
                </c:pt>
                <c:pt idx="16">
                  <c:v>36.476190476190474</c:v>
                </c:pt>
                <c:pt idx="17">
                  <c:v>40.799999999999997</c:v>
                </c:pt>
                <c:pt idx="18">
                  <c:v>30.318181818181817</c:v>
                </c:pt>
                <c:pt idx="19">
                  <c:v>35.714285714285715</c:v>
                </c:pt>
                <c:pt idx="20">
                  <c:v>33.53846153846154</c:v>
                </c:pt>
                <c:pt idx="21">
                  <c:v>37.5</c:v>
                </c:pt>
                <c:pt idx="22">
                  <c:v>38.058823529411768</c:v>
                </c:pt>
                <c:pt idx="23">
                  <c:v>28.117647058823529</c:v>
                </c:pt>
                <c:pt idx="24">
                  <c:v>31.846153846153847</c:v>
                </c:pt>
                <c:pt idx="25">
                  <c:v>43.636363636363633</c:v>
                </c:pt>
                <c:pt idx="26">
                  <c:v>38.842105263157897</c:v>
                </c:pt>
                <c:pt idx="27">
                  <c:v>29.5625</c:v>
                </c:pt>
                <c:pt idx="28">
                  <c:v>37.466666666666669</c:v>
                </c:pt>
                <c:pt idx="29">
                  <c:v>35.277777777777779</c:v>
                </c:pt>
              </c:numCache>
            </c:numRef>
          </c:val>
          <c:extLst>
            <c:ext xmlns:c16="http://schemas.microsoft.com/office/drawing/2014/chart" uri="{C3380CC4-5D6E-409C-BE32-E72D297353CC}">
              <c16:uniqueId val="{00000001-CFC9-4F61-9108-911F9E173F82}"/>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66370079"/>
        <c:axId val="1889524207"/>
      </c:areaChart>
      <c:catAx>
        <c:axId val="196637007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700" b="1" i="0" u="none" strike="noStrike" kern="1200" cap="all" baseline="0">
                <a:solidFill>
                  <a:schemeClr val="lt1">
                    <a:lumMod val="85000"/>
                  </a:schemeClr>
                </a:solidFill>
                <a:latin typeface="+mn-lt"/>
                <a:ea typeface="+mn-ea"/>
                <a:cs typeface="+mn-cs"/>
              </a:defRPr>
            </a:pPr>
            <a:endParaRPr lang="en-US"/>
          </a:p>
        </c:txPr>
        <c:crossAx val="1889524207"/>
        <c:crosses val="autoZero"/>
        <c:auto val="1"/>
        <c:lblAlgn val="ctr"/>
        <c:lblOffset val="100"/>
        <c:noMultiLvlLbl val="0"/>
      </c:catAx>
      <c:valAx>
        <c:axId val="18895242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75000"/>
                  </a:schemeClr>
                </a:solidFill>
                <a:latin typeface="+mn-lt"/>
                <a:ea typeface="+mn-ea"/>
                <a:cs typeface="+mn-cs"/>
              </a:defRPr>
            </a:pPr>
            <a:endParaRPr lang="en-US"/>
          </a:p>
        </c:txPr>
        <c:crossAx val="196637007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sz="7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project.xlsx]Pivot Report!PivotTable6</c:name>
    <c:fmtId val="26"/>
  </c:pivotSource>
  <c:chart>
    <c:title>
      <c:overlay val="0"/>
      <c:spPr>
        <a:noFill/>
        <a:ln>
          <a:noFill/>
        </a:ln>
        <a:effectLst/>
      </c:spPr>
      <c:txPr>
        <a:bodyPr rot="0" spcFirstLastPara="1" vertOverflow="ellipsis" vert="horz" wrap="square" anchor="ctr" anchorCtr="1"/>
        <a:lstStyle/>
        <a:p>
          <a:pP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Report'!$K$6:$K$36</c:f>
              <c:strCache>
                <c:ptCount val="30"/>
                <c:pt idx="0">
                  <c:v>1-Nov</c:v>
                </c:pt>
                <c:pt idx="1">
                  <c:v>2-Nov</c:v>
                </c:pt>
                <c:pt idx="2">
                  <c:v>3-Nov</c:v>
                </c:pt>
                <c:pt idx="3">
                  <c:v>4-Nov</c:v>
                </c:pt>
                <c:pt idx="4">
                  <c:v>5-Nov</c:v>
                </c:pt>
                <c:pt idx="5">
                  <c:v>6-Nov</c:v>
                </c:pt>
                <c:pt idx="6">
                  <c:v>7-Nov</c:v>
                </c:pt>
                <c:pt idx="7">
                  <c:v>8-Nov</c:v>
                </c:pt>
                <c:pt idx="8">
                  <c:v>9-Nov</c:v>
                </c:pt>
                <c:pt idx="9">
                  <c:v>10-Nov</c:v>
                </c:pt>
                <c:pt idx="10">
                  <c:v>11-Nov</c:v>
                </c:pt>
                <c:pt idx="11">
                  <c:v>12-Nov</c:v>
                </c:pt>
                <c:pt idx="12">
                  <c:v>13-Nov</c:v>
                </c:pt>
                <c:pt idx="13">
                  <c:v>14-Nov</c:v>
                </c:pt>
                <c:pt idx="14">
                  <c:v>15-Nov</c:v>
                </c:pt>
                <c:pt idx="15">
                  <c:v>16-Nov</c:v>
                </c:pt>
                <c:pt idx="16">
                  <c:v>17-Nov</c:v>
                </c:pt>
                <c:pt idx="17">
                  <c:v>18-Nov</c:v>
                </c:pt>
                <c:pt idx="18">
                  <c:v>19-Nov</c:v>
                </c:pt>
                <c:pt idx="19">
                  <c:v>20-Nov</c:v>
                </c:pt>
                <c:pt idx="20">
                  <c:v>21-Nov</c:v>
                </c:pt>
                <c:pt idx="21">
                  <c:v>22-Nov</c:v>
                </c:pt>
                <c:pt idx="22">
                  <c:v>23-Nov</c:v>
                </c:pt>
                <c:pt idx="23">
                  <c:v>24-Nov</c:v>
                </c:pt>
                <c:pt idx="24">
                  <c:v>25-Nov</c:v>
                </c:pt>
                <c:pt idx="25">
                  <c:v>26-Nov</c:v>
                </c:pt>
                <c:pt idx="26">
                  <c:v>27-Nov</c:v>
                </c:pt>
                <c:pt idx="27">
                  <c:v>28-Nov</c:v>
                </c:pt>
                <c:pt idx="28">
                  <c:v>29-Nov</c:v>
                </c:pt>
                <c:pt idx="29">
                  <c:v>30-Nov</c:v>
                </c:pt>
              </c:strCache>
            </c:strRef>
          </c:cat>
          <c:val>
            <c:numRef>
              <c:f>'Pivot Report'!$L$6:$L$36</c:f>
              <c:numCache>
                <c:formatCode>0.00</c:formatCode>
                <c:ptCount val="30"/>
                <c:pt idx="0">
                  <c:v>4.666666666666667</c:v>
                </c:pt>
                <c:pt idx="1">
                  <c:v>4.666666666666667</c:v>
                </c:pt>
                <c:pt idx="2">
                  <c:v>5.4</c:v>
                </c:pt>
                <c:pt idx="3">
                  <c:v>5.2</c:v>
                </c:pt>
                <c:pt idx="4">
                  <c:v>2.4285714285714284</c:v>
                </c:pt>
                <c:pt idx="5">
                  <c:v>4.8</c:v>
                </c:pt>
                <c:pt idx="6">
                  <c:v>6.5714285714285712</c:v>
                </c:pt>
                <c:pt idx="7">
                  <c:v>3</c:v>
                </c:pt>
                <c:pt idx="8">
                  <c:v>4.5999999999999996</c:v>
                </c:pt>
                <c:pt idx="9">
                  <c:v>3.875</c:v>
                </c:pt>
                <c:pt idx="10">
                  <c:v>7.25</c:v>
                </c:pt>
                <c:pt idx="11">
                  <c:v>3</c:v>
                </c:pt>
                <c:pt idx="12">
                  <c:v>8</c:v>
                </c:pt>
                <c:pt idx="13">
                  <c:v>6</c:v>
                </c:pt>
                <c:pt idx="14">
                  <c:v>3.6666666666666665</c:v>
                </c:pt>
                <c:pt idx="15">
                  <c:v>5.333333333333333</c:v>
                </c:pt>
                <c:pt idx="16">
                  <c:v>6.1111111111111107</c:v>
                </c:pt>
                <c:pt idx="17">
                  <c:v>6.5</c:v>
                </c:pt>
                <c:pt idx="18">
                  <c:v>5</c:v>
                </c:pt>
                <c:pt idx="19">
                  <c:v>5.8</c:v>
                </c:pt>
                <c:pt idx="20">
                  <c:v>6</c:v>
                </c:pt>
                <c:pt idx="21">
                  <c:v>8</c:v>
                </c:pt>
                <c:pt idx="22">
                  <c:v>7</c:v>
                </c:pt>
                <c:pt idx="23">
                  <c:v>3.75</c:v>
                </c:pt>
                <c:pt idx="24">
                  <c:v>1</c:v>
                </c:pt>
                <c:pt idx="25">
                  <c:v>9</c:v>
                </c:pt>
                <c:pt idx="26">
                  <c:v>5.8</c:v>
                </c:pt>
                <c:pt idx="27">
                  <c:v>4</c:v>
                </c:pt>
                <c:pt idx="28">
                  <c:v>6.4</c:v>
                </c:pt>
                <c:pt idx="29">
                  <c:v>5</c:v>
                </c:pt>
              </c:numCache>
            </c:numRef>
          </c:val>
          <c:extLst>
            <c:ext xmlns:c16="http://schemas.microsoft.com/office/drawing/2014/chart" uri="{C3380CC4-5D6E-409C-BE32-E72D297353CC}">
              <c16:uniqueId val="{00000001-CF1F-447F-BEBD-74CAE5262F55}"/>
            </c:ext>
          </c:extLst>
        </c:ser>
        <c:dLbls>
          <c:showLegendKey val="0"/>
          <c:showVal val="1"/>
          <c:showCatName val="0"/>
          <c:showSerName val="0"/>
          <c:showPercent val="0"/>
          <c:showBubbleSize val="0"/>
        </c:dLbls>
        <c:axId val="1966370079"/>
        <c:axId val="1889524207"/>
      </c:areaChart>
      <c:catAx>
        <c:axId val="196637007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9524207"/>
        <c:crosses val="autoZero"/>
        <c:auto val="1"/>
        <c:lblAlgn val="ctr"/>
        <c:lblOffset val="100"/>
        <c:noMultiLvlLbl val="0"/>
      </c:catAx>
      <c:valAx>
        <c:axId val="188952420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6370079"/>
        <c:crosses val="autoZero"/>
        <c:crossBetween val="midCat"/>
      </c:valAx>
      <c:spPr>
        <a:noFill/>
        <a:ln>
          <a:noFill/>
        </a:ln>
        <a:effectLst/>
      </c:spPr>
    </c:plotArea>
    <c:plotVisOnly val="1"/>
    <c:dispBlanksAs val="zero"/>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m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 '!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g Waittime 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704127</xdr:colOff>
      <xdr:row>48</xdr:row>
      <xdr:rowOff>83128</xdr:rowOff>
    </xdr:from>
    <xdr:to>
      <xdr:col>4</xdr:col>
      <xdr:colOff>289367</xdr:colOff>
      <xdr:row>51</xdr:row>
      <xdr:rowOff>76200</xdr:rowOff>
    </xdr:to>
    <xdr:graphicFrame macro="">
      <xdr:nvGraphicFramePr>
        <xdr:cNvPr id="4" name="Chart 3">
          <a:extLst>
            <a:ext uri="{FF2B5EF4-FFF2-40B4-BE49-F238E27FC236}">
              <a16:creationId xmlns:a16="http://schemas.microsoft.com/office/drawing/2014/main" id="{37E54010-8F51-D1E0-CD8A-9EEFF9EE7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45720</xdr:colOff>
      <xdr:row>0</xdr:row>
      <xdr:rowOff>53340</xdr:rowOff>
    </xdr:from>
    <xdr:to>
      <xdr:col>5</xdr:col>
      <xdr:colOff>266700</xdr:colOff>
      <xdr:row>2</xdr:row>
      <xdr:rowOff>175260</xdr:rowOff>
    </xdr:to>
    <xdr:sp macro="" textlink="">
      <xdr:nvSpPr>
        <xdr:cNvPr id="2" name="Rectangle: Rounded Corners 1">
          <a:extLst>
            <a:ext uri="{FF2B5EF4-FFF2-40B4-BE49-F238E27FC236}">
              <a16:creationId xmlns:a16="http://schemas.microsoft.com/office/drawing/2014/main" id="{5CAA0A15-44C0-02F0-45E1-8BF33A6BD2BB}"/>
            </a:ext>
          </a:extLst>
        </xdr:cNvPr>
        <xdr:cNvSpPr/>
      </xdr:nvSpPr>
      <xdr:spPr>
        <a:xfrm>
          <a:off x="45720" y="53340"/>
          <a:ext cx="3268980" cy="48768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274229</xdr:colOff>
      <xdr:row>0</xdr:row>
      <xdr:rowOff>59492</xdr:rowOff>
    </xdr:from>
    <xdr:to>
      <xdr:col>7</xdr:col>
      <xdr:colOff>94813</xdr:colOff>
      <xdr:row>3</xdr:row>
      <xdr:rowOff>1154</xdr:rowOff>
    </xdr:to>
    <xdr:sp macro="" textlink="">
      <xdr:nvSpPr>
        <xdr:cNvPr id="3" name="Rectangle: Rounded Corners 2">
          <a:extLst>
            <a:ext uri="{FF2B5EF4-FFF2-40B4-BE49-F238E27FC236}">
              <a16:creationId xmlns:a16="http://schemas.microsoft.com/office/drawing/2014/main" id="{0D7B89FF-44D3-BD1C-11D9-4841496165DB}"/>
            </a:ext>
          </a:extLst>
        </xdr:cNvPr>
        <xdr:cNvSpPr/>
      </xdr:nvSpPr>
      <xdr:spPr>
        <a:xfrm>
          <a:off x="3326819" y="59492"/>
          <a:ext cx="1041621" cy="48914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186123</xdr:colOff>
      <xdr:row>0</xdr:row>
      <xdr:rowOff>66018</xdr:rowOff>
    </xdr:from>
    <xdr:to>
      <xdr:col>9</xdr:col>
      <xdr:colOff>313530</xdr:colOff>
      <xdr:row>7</xdr:row>
      <xdr:rowOff>111123</xdr:rowOff>
    </xdr:to>
    <xdr:sp macro="" textlink="">
      <xdr:nvSpPr>
        <xdr:cNvPr id="4" name="Rectangle: Rounded Corners 3">
          <a:extLst>
            <a:ext uri="{FF2B5EF4-FFF2-40B4-BE49-F238E27FC236}">
              <a16:creationId xmlns:a16="http://schemas.microsoft.com/office/drawing/2014/main" id="{50AEBADE-9A70-8033-E823-63C7F0D27D91}"/>
            </a:ext>
          </a:extLst>
        </xdr:cNvPr>
        <xdr:cNvSpPr/>
      </xdr:nvSpPr>
      <xdr:spPr>
        <a:xfrm>
          <a:off x="4464436" y="66018"/>
          <a:ext cx="1349782" cy="1323043"/>
        </a:xfrm>
        <a:prstGeom prst="roundRect">
          <a:avLst>
            <a:gd name="adj" fmla="val 851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341303</xdr:colOff>
      <xdr:row>0</xdr:row>
      <xdr:rowOff>63500</xdr:rowOff>
    </xdr:from>
    <xdr:to>
      <xdr:col>11</xdr:col>
      <xdr:colOff>365125</xdr:colOff>
      <xdr:row>7</xdr:row>
      <xdr:rowOff>115092</xdr:rowOff>
    </xdr:to>
    <xdr:sp macro="" textlink="">
      <xdr:nvSpPr>
        <xdr:cNvPr id="5" name="Rectangle: Rounded Corners 4">
          <a:extLst>
            <a:ext uri="{FF2B5EF4-FFF2-40B4-BE49-F238E27FC236}">
              <a16:creationId xmlns:a16="http://schemas.microsoft.com/office/drawing/2014/main" id="{0540CA30-3A39-6F55-7D92-C5B9A9167CC0}"/>
            </a:ext>
          </a:extLst>
        </xdr:cNvPr>
        <xdr:cNvSpPr/>
      </xdr:nvSpPr>
      <xdr:spPr>
        <a:xfrm>
          <a:off x="5841991" y="63500"/>
          <a:ext cx="1246197" cy="1329530"/>
        </a:xfrm>
        <a:prstGeom prst="roundRect">
          <a:avLst>
            <a:gd name="adj" fmla="val 6994"/>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67888</xdr:colOff>
      <xdr:row>3</xdr:row>
      <xdr:rowOff>9005</xdr:rowOff>
    </xdr:from>
    <xdr:to>
      <xdr:col>1</xdr:col>
      <xdr:colOff>182188</xdr:colOff>
      <xdr:row>15</xdr:row>
      <xdr:rowOff>92825</xdr:rowOff>
    </xdr:to>
    <xdr:sp macro="" textlink="">
      <xdr:nvSpPr>
        <xdr:cNvPr id="6" name="Rectangle: Rounded Corners 5">
          <a:extLst>
            <a:ext uri="{FF2B5EF4-FFF2-40B4-BE49-F238E27FC236}">
              <a16:creationId xmlns:a16="http://schemas.microsoft.com/office/drawing/2014/main" id="{52FE2D05-04E9-E75E-F265-B5DD80B92E6F}"/>
            </a:ext>
          </a:extLst>
        </xdr:cNvPr>
        <xdr:cNvSpPr/>
      </xdr:nvSpPr>
      <xdr:spPr>
        <a:xfrm>
          <a:off x="67888" y="549332"/>
          <a:ext cx="723900" cy="224512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198120</xdr:colOff>
      <xdr:row>3</xdr:row>
      <xdr:rowOff>6660</xdr:rowOff>
    </xdr:from>
    <xdr:to>
      <xdr:col>3</xdr:col>
      <xdr:colOff>121920</xdr:colOff>
      <xdr:row>7</xdr:row>
      <xdr:rowOff>120162</xdr:rowOff>
    </xdr:to>
    <xdr:sp macro="" textlink="">
      <xdr:nvSpPr>
        <xdr:cNvPr id="7" name="Rectangle: Rounded Corners 6">
          <a:extLst>
            <a:ext uri="{FF2B5EF4-FFF2-40B4-BE49-F238E27FC236}">
              <a16:creationId xmlns:a16="http://schemas.microsoft.com/office/drawing/2014/main" id="{BE9C08D3-3B1C-AB95-4AC3-6F7FA3CFAEA6}"/>
            </a:ext>
          </a:extLst>
        </xdr:cNvPr>
        <xdr:cNvSpPr/>
      </xdr:nvSpPr>
      <xdr:spPr>
        <a:xfrm>
          <a:off x="807720" y="551783"/>
          <a:ext cx="1143000" cy="840333"/>
        </a:xfrm>
        <a:prstGeom prst="roundRect">
          <a:avLst>
            <a:gd name="adj" fmla="val 10389"/>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123092</xdr:colOff>
      <xdr:row>3</xdr:row>
      <xdr:rowOff>17585</xdr:rowOff>
    </xdr:from>
    <xdr:to>
      <xdr:col>5</xdr:col>
      <xdr:colOff>45720</xdr:colOff>
      <xdr:row>7</xdr:row>
      <xdr:rowOff>91440</xdr:rowOff>
    </xdr:to>
    <xdr:sp macro="" textlink="">
      <xdr:nvSpPr>
        <xdr:cNvPr id="8" name="Rectangle: Rounded Corners 7">
          <a:extLst>
            <a:ext uri="{FF2B5EF4-FFF2-40B4-BE49-F238E27FC236}">
              <a16:creationId xmlns:a16="http://schemas.microsoft.com/office/drawing/2014/main" id="{7FFD5ED7-4FD9-752D-6483-E00DC3CACF7B}"/>
            </a:ext>
          </a:extLst>
        </xdr:cNvPr>
        <xdr:cNvSpPr/>
      </xdr:nvSpPr>
      <xdr:spPr>
        <a:xfrm>
          <a:off x="1951892" y="562708"/>
          <a:ext cx="1141828" cy="800686"/>
        </a:xfrm>
        <a:prstGeom prst="roundRect">
          <a:avLst>
            <a:gd name="adj" fmla="val 715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editAs="absolute">
    <xdr:from>
      <xdr:col>5</xdr:col>
      <xdr:colOff>72683</xdr:colOff>
      <xdr:row>3</xdr:row>
      <xdr:rowOff>15240</xdr:rowOff>
    </xdr:from>
    <xdr:to>
      <xdr:col>6</xdr:col>
      <xdr:colOff>571500</xdr:colOff>
      <xdr:row>7</xdr:row>
      <xdr:rowOff>106680</xdr:rowOff>
    </xdr:to>
    <xdr:sp macro="" textlink="">
      <xdr:nvSpPr>
        <xdr:cNvPr id="10" name="Rectangle: Rounded Corners 9">
          <a:extLst>
            <a:ext uri="{FF2B5EF4-FFF2-40B4-BE49-F238E27FC236}">
              <a16:creationId xmlns:a16="http://schemas.microsoft.com/office/drawing/2014/main" id="{EF7895F8-198E-962C-13FF-7F9CB4365EA2}"/>
            </a:ext>
          </a:extLst>
        </xdr:cNvPr>
        <xdr:cNvSpPr/>
      </xdr:nvSpPr>
      <xdr:spPr>
        <a:xfrm>
          <a:off x="3120683" y="563880"/>
          <a:ext cx="1108417" cy="82296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editAs="absolute">
    <xdr:from>
      <xdr:col>1</xdr:col>
      <xdr:colOff>190501</xdr:colOff>
      <xdr:row>7</xdr:row>
      <xdr:rowOff>122717</xdr:rowOff>
    </xdr:from>
    <xdr:to>
      <xdr:col>7</xdr:col>
      <xdr:colOff>76201</xdr:colOff>
      <xdr:row>10</xdr:row>
      <xdr:rowOff>45719</xdr:rowOff>
    </xdr:to>
    <xdr:sp macro="" textlink="">
      <xdr:nvSpPr>
        <xdr:cNvPr id="13" name="Rectangle: Rounded Corners 12">
          <a:extLst>
            <a:ext uri="{FF2B5EF4-FFF2-40B4-BE49-F238E27FC236}">
              <a16:creationId xmlns:a16="http://schemas.microsoft.com/office/drawing/2014/main" id="{5441A2C2-AF2D-6BBC-635B-AEBB20BD83FD}"/>
            </a:ext>
          </a:extLst>
        </xdr:cNvPr>
        <xdr:cNvSpPr/>
      </xdr:nvSpPr>
      <xdr:spPr>
        <a:xfrm>
          <a:off x="800101" y="1394671"/>
          <a:ext cx="3543300" cy="468125"/>
        </a:xfrm>
        <a:prstGeom prst="roundRect">
          <a:avLst>
            <a:gd name="adj" fmla="val 6650"/>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206113</xdr:colOff>
      <xdr:row>10</xdr:row>
      <xdr:rowOff>59307</xdr:rowOff>
    </xdr:from>
    <xdr:to>
      <xdr:col>7</xdr:col>
      <xdr:colOff>63411</xdr:colOff>
      <xdr:row>15</xdr:row>
      <xdr:rowOff>88989</xdr:rowOff>
    </xdr:to>
    <xdr:sp macro="" textlink="">
      <xdr:nvSpPr>
        <xdr:cNvPr id="14" name="Rectangle: Rounded Corners 13">
          <a:extLst>
            <a:ext uri="{FF2B5EF4-FFF2-40B4-BE49-F238E27FC236}">
              <a16:creationId xmlns:a16="http://schemas.microsoft.com/office/drawing/2014/main" id="{3C4BA3B6-6707-3215-C1F9-FB4B709205BC}"/>
            </a:ext>
          </a:extLst>
        </xdr:cNvPr>
        <xdr:cNvSpPr/>
      </xdr:nvSpPr>
      <xdr:spPr>
        <a:xfrm>
          <a:off x="816631" y="1895452"/>
          <a:ext cx="3520407" cy="947754"/>
        </a:xfrm>
        <a:prstGeom prst="roundRect">
          <a:avLst>
            <a:gd name="adj" fmla="val 307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103970</xdr:colOff>
      <xdr:row>16</xdr:row>
      <xdr:rowOff>6904</xdr:rowOff>
    </xdr:from>
    <xdr:to>
      <xdr:col>8</xdr:col>
      <xdr:colOff>286850</xdr:colOff>
      <xdr:row>16</xdr:row>
      <xdr:rowOff>14524</xdr:rowOff>
    </xdr:to>
    <xdr:cxnSp macro="">
      <xdr:nvCxnSpPr>
        <xdr:cNvPr id="16" name="Straight Connector 15">
          <a:extLst>
            <a:ext uri="{FF2B5EF4-FFF2-40B4-BE49-F238E27FC236}">
              <a16:creationId xmlns:a16="http://schemas.microsoft.com/office/drawing/2014/main" id="{2234B269-4F25-4E1F-0558-427AF55B5459}"/>
            </a:ext>
          </a:extLst>
        </xdr:cNvPr>
        <xdr:cNvCxnSpPr/>
      </xdr:nvCxnSpPr>
      <xdr:spPr>
        <a:xfrm flipV="1">
          <a:off x="103970" y="2952622"/>
          <a:ext cx="5051497" cy="762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editAs="absolute">
    <xdr:from>
      <xdr:col>7</xdr:col>
      <xdr:colOff>182615</xdr:colOff>
      <xdr:row>7</xdr:row>
      <xdr:rowOff>136361</xdr:rowOff>
    </xdr:from>
    <xdr:to>
      <xdr:col>11</xdr:col>
      <xdr:colOff>388355</xdr:colOff>
      <xdr:row>15</xdr:row>
      <xdr:rowOff>121121</xdr:rowOff>
    </xdr:to>
    <xdr:sp macro="" textlink="">
      <xdr:nvSpPr>
        <xdr:cNvPr id="19" name="Rectangle: Rounded Corners 18">
          <a:extLst>
            <a:ext uri="{FF2B5EF4-FFF2-40B4-BE49-F238E27FC236}">
              <a16:creationId xmlns:a16="http://schemas.microsoft.com/office/drawing/2014/main" id="{D1DE2FCA-333A-BD50-EF01-35B0CB782449}"/>
            </a:ext>
          </a:extLst>
        </xdr:cNvPr>
        <xdr:cNvSpPr/>
      </xdr:nvSpPr>
      <xdr:spPr>
        <a:xfrm>
          <a:off x="4449815" y="1408315"/>
          <a:ext cx="2644140" cy="1438421"/>
        </a:xfrm>
        <a:prstGeom prst="roundRect">
          <a:avLst>
            <a:gd name="adj" fmla="val 5257"/>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365759</xdr:colOff>
      <xdr:row>0</xdr:row>
      <xdr:rowOff>106680</xdr:rowOff>
    </xdr:from>
    <xdr:to>
      <xdr:col>5</xdr:col>
      <xdr:colOff>374072</xdr:colOff>
      <xdr:row>1</xdr:row>
      <xdr:rowOff>117764</xdr:rowOff>
    </xdr:to>
    <xdr:sp macro="" textlink="">
      <xdr:nvSpPr>
        <xdr:cNvPr id="11" name="TextBox 10">
          <a:extLst>
            <a:ext uri="{FF2B5EF4-FFF2-40B4-BE49-F238E27FC236}">
              <a16:creationId xmlns:a16="http://schemas.microsoft.com/office/drawing/2014/main" id="{14649F86-B699-BAE3-C924-7CAFDE4905A3}"/>
            </a:ext>
          </a:extLst>
        </xdr:cNvPr>
        <xdr:cNvSpPr txBox="1"/>
      </xdr:nvSpPr>
      <xdr:spPr>
        <a:xfrm>
          <a:off x="365759" y="106680"/>
          <a:ext cx="3056313" cy="19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Hospital Emargency Room Dashboard</a:t>
          </a:r>
        </a:p>
      </xdr:txBody>
    </xdr:sp>
    <xdr:clientData/>
  </xdr:twoCellAnchor>
  <xdr:twoCellAnchor editAs="oneCell">
    <xdr:from>
      <xdr:col>0</xdr:col>
      <xdr:colOff>0</xdr:colOff>
      <xdr:row>0</xdr:row>
      <xdr:rowOff>0</xdr:rowOff>
    </xdr:from>
    <xdr:to>
      <xdr:col>1</xdr:col>
      <xdr:colOff>290944</xdr:colOff>
      <xdr:row>3</xdr:row>
      <xdr:rowOff>48491</xdr:rowOff>
    </xdr:to>
    <xdr:pic>
      <xdr:nvPicPr>
        <xdr:cNvPr id="15" name="Picture 14">
          <a:extLst>
            <a:ext uri="{FF2B5EF4-FFF2-40B4-BE49-F238E27FC236}">
              <a16:creationId xmlns:a16="http://schemas.microsoft.com/office/drawing/2014/main" id="{5977AA02-AD76-DCA9-E55C-13F1BC31EB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167" t="-3797" r="-1667" b="-1266"/>
        <a:stretch>
          <a:fillRect/>
        </a:stretch>
      </xdr:blipFill>
      <xdr:spPr>
        <a:xfrm>
          <a:off x="0" y="0"/>
          <a:ext cx="900544" cy="588818"/>
        </a:xfrm>
        <a:prstGeom prst="rect">
          <a:avLst/>
        </a:prstGeom>
      </xdr:spPr>
    </xdr:pic>
    <xdr:clientData/>
  </xdr:twoCellAnchor>
  <xdr:twoCellAnchor editAs="absolute">
    <xdr:from>
      <xdr:col>0</xdr:col>
      <xdr:colOff>518160</xdr:colOff>
      <xdr:row>1</xdr:row>
      <xdr:rowOff>78972</xdr:rowOff>
    </xdr:from>
    <xdr:to>
      <xdr:col>5</xdr:col>
      <xdr:colOff>290946</xdr:colOff>
      <xdr:row>2</xdr:row>
      <xdr:rowOff>76201</xdr:rowOff>
    </xdr:to>
    <xdr:sp macro="" textlink="">
      <xdr:nvSpPr>
        <xdr:cNvPr id="21" name="TextBox 20">
          <a:extLst>
            <a:ext uri="{FF2B5EF4-FFF2-40B4-BE49-F238E27FC236}">
              <a16:creationId xmlns:a16="http://schemas.microsoft.com/office/drawing/2014/main" id="{E2D9748F-2235-949E-E6B6-67E232753AA3}"/>
            </a:ext>
          </a:extLst>
        </xdr:cNvPr>
        <xdr:cNvSpPr txBox="1"/>
      </xdr:nvSpPr>
      <xdr:spPr>
        <a:xfrm>
          <a:off x="518160" y="259081"/>
          <a:ext cx="2820786" cy="177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a:t>Monthly</a:t>
          </a:r>
          <a:r>
            <a:rPr lang="en-US" sz="1100" baseline="0"/>
            <a:t> Report</a:t>
          </a:r>
        </a:p>
        <a:p>
          <a:pPr algn="ctr"/>
          <a:endParaRPr lang="en-US" sz="1100"/>
        </a:p>
      </xdr:txBody>
    </xdr:sp>
    <xdr:clientData/>
  </xdr:twoCellAnchor>
  <xdr:twoCellAnchor editAs="absolute">
    <xdr:from>
      <xdr:col>1</xdr:col>
      <xdr:colOff>221674</xdr:colOff>
      <xdr:row>4</xdr:row>
      <xdr:rowOff>152400</xdr:rowOff>
    </xdr:from>
    <xdr:to>
      <xdr:col>3</xdr:col>
      <xdr:colOff>124691</xdr:colOff>
      <xdr:row>5</xdr:row>
      <xdr:rowOff>159328</xdr:rowOff>
    </xdr:to>
    <xdr:sp macro="" textlink="">
      <xdr:nvSpPr>
        <xdr:cNvPr id="22" name="TextBox 21">
          <a:extLst>
            <a:ext uri="{FF2B5EF4-FFF2-40B4-BE49-F238E27FC236}">
              <a16:creationId xmlns:a16="http://schemas.microsoft.com/office/drawing/2014/main" id="{7CC31F5E-87B8-FD2C-D72D-318EE82B936F}"/>
            </a:ext>
          </a:extLst>
        </xdr:cNvPr>
        <xdr:cNvSpPr txBox="1"/>
      </xdr:nvSpPr>
      <xdr:spPr>
        <a:xfrm>
          <a:off x="831274" y="872836"/>
          <a:ext cx="1122217" cy="18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aseline="0"/>
            <a:t>No. of Patient</a:t>
          </a:r>
        </a:p>
        <a:p>
          <a:pPr algn="ctr"/>
          <a:endParaRPr lang="en-US" sz="1100" baseline="0"/>
        </a:p>
        <a:p>
          <a:pPr algn="ctr"/>
          <a:endParaRPr lang="en-US" sz="1100"/>
        </a:p>
      </xdr:txBody>
    </xdr:sp>
    <xdr:clientData/>
  </xdr:twoCellAnchor>
  <xdr:twoCellAnchor editAs="absolute">
    <xdr:from>
      <xdr:col>1</xdr:col>
      <xdr:colOff>200891</xdr:colOff>
      <xdr:row>3</xdr:row>
      <xdr:rowOff>159328</xdr:rowOff>
    </xdr:from>
    <xdr:to>
      <xdr:col>3</xdr:col>
      <xdr:colOff>110836</xdr:colOff>
      <xdr:row>4</xdr:row>
      <xdr:rowOff>138546</xdr:rowOff>
    </xdr:to>
    <xdr:sp macro="" textlink="'Pivot Report'!A5">
      <xdr:nvSpPr>
        <xdr:cNvPr id="23" name="TextBox 22">
          <a:extLst>
            <a:ext uri="{FF2B5EF4-FFF2-40B4-BE49-F238E27FC236}">
              <a16:creationId xmlns:a16="http://schemas.microsoft.com/office/drawing/2014/main" id="{5AC40F74-8AC1-4282-8751-9BAEFFD96336}"/>
            </a:ext>
          </a:extLst>
        </xdr:cNvPr>
        <xdr:cNvSpPr txBox="1"/>
      </xdr:nvSpPr>
      <xdr:spPr>
        <a:xfrm>
          <a:off x="810491" y="699655"/>
          <a:ext cx="1129145" cy="1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6B28F62-73C6-4FA3-9F39-907946F7654D}" type="TxLink">
            <a:rPr lang="en-US" sz="1100" b="0" i="0" u="none" strike="noStrike" baseline="0">
              <a:solidFill>
                <a:srgbClr val="000000"/>
              </a:solidFill>
              <a:latin typeface="Aptos Narrow"/>
            </a:rPr>
            <a:pPr algn="ctr"/>
            <a:t>464</a:t>
          </a:fld>
          <a:endParaRPr lang="en-US" sz="1100"/>
        </a:p>
      </xdr:txBody>
    </xdr:sp>
    <xdr:clientData/>
  </xdr:twoCellAnchor>
  <xdr:twoCellAnchor editAs="absolute">
    <xdr:from>
      <xdr:col>5</xdr:col>
      <xdr:colOff>47766</xdr:colOff>
      <xdr:row>3</xdr:row>
      <xdr:rowOff>15933</xdr:rowOff>
    </xdr:from>
    <xdr:to>
      <xdr:col>7</xdr:col>
      <xdr:colOff>85547</xdr:colOff>
      <xdr:row>7</xdr:row>
      <xdr:rowOff>112222</xdr:rowOff>
    </xdr:to>
    <xdr:sp macro="" textlink="">
      <xdr:nvSpPr>
        <xdr:cNvPr id="24" name="Rectangle: Rounded Corners 23">
          <a:extLst>
            <a:ext uri="{FF2B5EF4-FFF2-40B4-BE49-F238E27FC236}">
              <a16:creationId xmlns:a16="http://schemas.microsoft.com/office/drawing/2014/main" id="{C6E087BB-F5AA-EBD8-DC8C-9A8A9E9A0907}"/>
            </a:ext>
          </a:extLst>
        </xdr:cNvPr>
        <xdr:cNvSpPr/>
      </xdr:nvSpPr>
      <xdr:spPr>
        <a:xfrm>
          <a:off x="3100356" y="566776"/>
          <a:ext cx="1258818" cy="830747"/>
        </a:xfrm>
        <a:prstGeom prst="roundRect">
          <a:avLst>
            <a:gd name="adj" fmla="val 9546"/>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i="1"/>
        </a:p>
      </xdr:txBody>
    </xdr:sp>
    <xdr:clientData/>
  </xdr:twoCellAnchor>
  <xdr:twoCellAnchor editAs="absolute">
    <xdr:from>
      <xdr:col>3</xdr:col>
      <xdr:colOff>152401</xdr:colOff>
      <xdr:row>4</xdr:row>
      <xdr:rowOff>173182</xdr:rowOff>
    </xdr:from>
    <xdr:to>
      <xdr:col>5</xdr:col>
      <xdr:colOff>55418</xdr:colOff>
      <xdr:row>6</xdr:row>
      <xdr:rowOff>0</xdr:rowOff>
    </xdr:to>
    <xdr:sp macro="" textlink="">
      <xdr:nvSpPr>
        <xdr:cNvPr id="25" name="TextBox 24">
          <a:extLst>
            <a:ext uri="{FF2B5EF4-FFF2-40B4-BE49-F238E27FC236}">
              <a16:creationId xmlns:a16="http://schemas.microsoft.com/office/drawing/2014/main" id="{D93FFD0C-B7E1-CCA2-70AE-F54FA4302336}"/>
            </a:ext>
          </a:extLst>
        </xdr:cNvPr>
        <xdr:cNvSpPr txBox="1"/>
      </xdr:nvSpPr>
      <xdr:spPr>
        <a:xfrm>
          <a:off x="1981201" y="893618"/>
          <a:ext cx="1122217" cy="187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000" baseline="0"/>
            <a:t>Average Waittime</a:t>
          </a:r>
        </a:p>
        <a:p>
          <a:pPr algn="ctr"/>
          <a:endParaRPr lang="en-US" sz="1100" baseline="0"/>
        </a:p>
        <a:p>
          <a:pPr algn="ctr"/>
          <a:endParaRPr lang="en-US" sz="1100" baseline="0"/>
        </a:p>
        <a:p>
          <a:pPr algn="ctr"/>
          <a:endParaRPr lang="en-US" sz="1100" baseline="0"/>
        </a:p>
        <a:p>
          <a:pPr algn="ctr"/>
          <a:endParaRPr lang="en-US" sz="1100"/>
        </a:p>
      </xdr:txBody>
    </xdr:sp>
    <xdr:clientData/>
  </xdr:twoCellAnchor>
  <xdr:twoCellAnchor editAs="absolute">
    <xdr:from>
      <xdr:col>3</xdr:col>
      <xdr:colOff>131618</xdr:colOff>
      <xdr:row>4</xdr:row>
      <xdr:rowOff>1</xdr:rowOff>
    </xdr:from>
    <xdr:to>
      <xdr:col>5</xdr:col>
      <xdr:colOff>41563</xdr:colOff>
      <xdr:row>4</xdr:row>
      <xdr:rowOff>159328</xdr:rowOff>
    </xdr:to>
    <xdr:sp macro="" textlink="'Pivot Report'!A11">
      <xdr:nvSpPr>
        <xdr:cNvPr id="26" name="TextBox 25">
          <a:extLst>
            <a:ext uri="{FF2B5EF4-FFF2-40B4-BE49-F238E27FC236}">
              <a16:creationId xmlns:a16="http://schemas.microsoft.com/office/drawing/2014/main" id="{08A3C041-DD94-BD11-0AA5-A0664B14A5D1}"/>
            </a:ext>
          </a:extLst>
        </xdr:cNvPr>
        <xdr:cNvSpPr txBox="1"/>
      </xdr:nvSpPr>
      <xdr:spPr>
        <a:xfrm>
          <a:off x="1960418" y="720437"/>
          <a:ext cx="1129145" cy="159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B2E9F85-0CE2-4CFF-B054-BDF86FD646D8}" type="TxLink">
            <a:rPr lang="en-US" sz="1100" b="0" i="0" u="none" strike="noStrike" baseline="0">
              <a:solidFill>
                <a:srgbClr val="000000"/>
              </a:solidFill>
              <a:latin typeface="Aptos Narrow"/>
            </a:rPr>
            <a:pPr algn="ctr"/>
            <a:t>35.19</a:t>
          </a:fld>
          <a:endParaRPr lang="en-US" sz="1100"/>
        </a:p>
      </xdr:txBody>
    </xdr:sp>
    <xdr:clientData/>
  </xdr:twoCellAnchor>
  <xdr:twoCellAnchor editAs="absolute">
    <xdr:from>
      <xdr:col>4</xdr:col>
      <xdr:colOff>588818</xdr:colOff>
      <xdr:row>5</xdr:row>
      <xdr:rowOff>6928</xdr:rowOff>
    </xdr:from>
    <xdr:to>
      <xdr:col>7</xdr:col>
      <xdr:colOff>103910</xdr:colOff>
      <xdr:row>6</xdr:row>
      <xdr:rowOff>69271</xdr:rowOff>
    </xdr:to>
    <xdr:sp macro="" textlink="">
      <xdr:nvSpPr>
        <xdr:cNvPr id="35" name="TextBox 34">
          <a:extLst>
            <a:ext uri="{FF2B5EF4-FFF2-40B4-BE49-F238E27FC236}">
              <a16:creationId xmlns:a16="http://schemas.microsoft.com/office/drawing/2014/main" id="{69C935F3-19FD-41A9-F5E9-3BD1194B00FC}"/>
            </a:ext>
          </a:extLst>
        </xdr:cNvPr>
        <xdr:cNvSpPr txBox="1"/>
      </xdr:nvSpPr>
      <xdr:spPr>
        <a:xfrm>
          <a:off x="3027218" y="907473"/>
          <a:ext cx="1343892" cy="24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noFill/>
            </a:rPr>
            <a:t>Pt</a:t>
          </a:r>
          <a:r>
            <a:rPr lang="en-US" sz="900"/>
            <a:t> Patient</a:t>
          </a:r>
          <a:r>
            <a:rPr lang="en-US" sz="900" baseline="0"/>
            <a:t> Satisfaction Score</a:t>
          </a:r>
          <a:endParaRPr lang="en-US" sz="900"/>
        </a:p>
        <a:p>
          <a:endParaRPr lang="en-US" sz="1100"/>
        </a:p>
      </xdr:txBody>
    </xdr:sp>
    <xdr:clientData/>
  </xdr:twoCellAnchor>
  <xdr:twoCellAnchor editAs="absolute">
    <xdr:from>
      <xdr:col>5</xdr:col>
      <xdr:colOff>477982</xdr:colOff>
      <xdr:row>3</xdr:row>
      <xdr:rowOff>173182</xdr:rowOff>
    </xdr:from>
    <xdr:to>
      <xdr:col>7</xdr:col>
      <xdr:colOff>34637</xdr:colOff>
      <xdr:row>4</xdr:row>
      <xdr:rowOff>124692</xdr:rowOff>
    </xdr:to>
    <xdr:sp macro="" textlink="'Pivot Report'!A16">
      <xdr:nvSpPr>
        <xdr:cNvPr id="36" name="TextBox 35">
          <a:extLst>
            <a:ext uri="{FF2B5EF4-FFF2-40B4-BE49-F238E27FC236}">
              <a16:creationId xmlns:a16="http://schemas.microsoft.com/office/drawing/2014/main" id="{6ED6249D-3779-23A4-CC7E-F09E4DA50E70}"/>
            </a:ext>
          </a:extLst>
        </xdr:cNvPr>
        <xdr:cNvSpPr txBox="1"/>
      </xdr:nvSpPr>
      <xdr:spPr>
        <a:xfrm>
          <a:off x="3525982" y="713509"/>
          <a:ext cx="775855" cy="13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F121E07-8A6E-49D1-8EA7-40999C73A6D6}" type="TxLink">
            <a:rPr lang="en-US" sz="1100" b="0" i="0" u="none" strike="noStrike">
              <a:solidFill>
                <a:srgbClr val="000000"/>
              </a:solidFill>
              <a:latin typeface="Aptos Narrow"/>
            </a:rPr>
            <a:pPr/>
            <a:t>5.09</a:t>
          </a:fld>
          <a:endParaRPr lang="en-US" sz="1100">
            <a:noFill/>
          </a:endParaRPr>
        </a:p>
      </xdr:txBody>
    </xdr:sp>
    <xdr:clientData/>
  </xdr:twoCellAnchor>
  <xdr:twoCellAnchor editAs="oneCell">
    <xdr:from>
      <xdr:col>2</xdr:col>
      <xdr:colOff>346364</xdr:colOff>
      <xdr:row>3</xdr:row>
      <xdr:rowOff>34636</xdr:rowOff>
    </xdr:from>
    <xdr:to>
      <xdr:col>3</xdr:col>
      <xdr:colOff>20782</xdr:colOff>
      <xdr:row>4</xdr:row>
      <xdr:rowOff>138545</xdr:rowOff>
    </xdr:to>
    <xdr:pic>
      <xdr:nvPicPr>
        <xdr:cNvPr id="38" name="Graphic 37" descr="Male profile with solid fill">
          <a:extLst>
            <a:ext uri="{FF2B5EF4-FFF2-40B4-BE49-F238E27FC236}">
              <a16:creationId xmlns:a16="http://schemas.microsoft.com/office/drawing/2014/main" id="{B218F798-B035-6F10-483C-0A39D67F164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565564" y="574963"/>
          <a:ext cx="284018" cy="284018"/>
        </a:xfrm>
        <a:prstGeom prst="rect">
          <a:avLst/>
        </a:prstGeom>
      </xdr:spPr>
    </xdr:pic>
    <xdr:clientData/>
  </xdr:twoCellAnchor>
  <xdr:twoCellAnchor editAs="oneCell">
    <xdr:from>
      <xdr:col>6</xdr:col>
      <xdr:colOff>304800</xdr:colOff>
      <xdr:row>3</xdr:row>
      <xdr:rowOff>13855</xdr:rowOff>
    </xdr:from>
    <xdr:to>
      <xdr:col>7</xdr:col>
      <xdr:colOff>48491</xdr:colOff>
      <xdr:row>5</xdr:row>
      <xdr:rowOff>6928</xdr:rowOff>
    </xdr:to>
    <xdr:pic>
      <xdr:nvPicPr>
        <xdr:cNvPr id="42" name="Graphic 41" descr="Stars with solid fill">
          <a:extLst>
            <a:ext uri="{FF2B5EF4-FFF2-40B4-BE49-F238E27FC236}">
              <a16:creationId xmlns:a16="http://schemas.microsoft.com/office/drawing/2014/main" id="{9CD177BC-B09B-5535-29FC-2FD20AF6A62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962400" y="554182"/>
          <a:ext cx="353291" cy="353291"/>
        </a:xfrm>
        <a:prstGeom prst="rect">
          <a:avLst/>
        </a:prstGeom>
      </xdr:spPr>
    </xdr:pic>
    <xdr:clientData/>
  </xdr:twoCellAnchor>
  <xdr:twoCellAnchor editAs="oneCell">
    <xdr:from>
      <xdr:col>4</xdr:col>
      <xdr:colOff>318655</xdr:colOff>
      <xdr:row>3</xdr:row>
      <xdr:rowOff>34636</xdr:rowOff>
    </xdr:from>
    <xdr:to>
      <xdr:col>5</xdr:col>
      <xdr:colOff>6928</xdr:colOff>
      <xdr:row>4</xdr:row>
      <xdr:rowOff>152400</xdr:rowOff>
    </xdr:to>
    <xdr:pic>
      <xdr:nvPicPr>
        <xdr:cNvPr id="44" name="Graphic 43" descr="Stopwatch with solid fill">
          <a:extLst>
            <a:ext uri="{FF2B5EF4-FFF2-40B4-BE49-F238E27FC236}">
              <a16:creationId xmlns:a16="http://schemas.microsoft.com/office/drawing/2014/main" id="{AC8EB6C7-EC87-BA36-7700-EB799A31B3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57055" y="574963"/>
          <a:ext cx="297873" cy="297873"/>
        </a:xfrm>
        <a:prstGeom prst="rect">
          <a:avLst/>
        </a:prstGeom>
      </xdr:spPr>
    </xdr:pic>
    <xdr:clientData/>
  </xdr:twoCellAnchor>
  <xdr:twoCellAnchor editAs="oneCell">
    <xdr:from>
      <xdr:col>0</xdr:col>
      <xdr:colOff>105508</xdr:colOff>
      <xdr:row>3</xdr:row>
      <xdr:rowOff>128954</xdr:rowOff>
    </xdr:from>
    <xdr:to>
      <xdr:col>1</xdr:col>
      <xdr:colOff>127092</xdr:colOff>
      <xdr:row>14</xdr:row>
      <xdr:rowOff>140677</xdr:rowOff>
    </xdr:to>
    <mc:AlternateContent xmlns:mc="http://schemas.openxmlformats.org/markup-compatibility/2006" xmlns:a14="http://schemas.microsoft.com/office/drawing/2010/main">
      <mc:Choice Requires="a14">
        <xdr:graphicFrame macro="">
          <xdr:nvGraphicFramePr>
            <xdr:cNvPr id="9" name="Date (Month) 1">
              <a:extLst>
                <a:ext uri="{FF2B5EF4-FFF2-40B4-BE49-F238E27FC236}">
                  <a16:creationId xmlns:a16="http://schemas.microsoft.com/office/drawing/2014/main" id="{6028A4FF-1D1F-4250-B927-511B67AACD69}"/>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05508" y="674077"/>
              <a:ext cx="631184" cy="20105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105508</xdr:colOff>
      <xdr:row>5</xdr:row>
      <xdr:rowOff>58616</xdr:rowOff>
    </xdr:from>
    <xdr:to>
      <xdr:col>3</xdr:col>
      <xdr:colOff>193431</xdr:colOff>
      <xdr:row>8</xdr:row>
      <xdr:rowOff>117230</xdr:rowOff>
    </xdr:to>
    <xdr:graphicFrame macro="">
      <xdr:nvGraphicFramePr>
        <xdr:cNvPr id="17" name="Chart 16">
          <a:hlinkClick xmlns:r="http://schemas.openxmlformats.org/officeDocument/2006/relationships" r:id="rId8"/>
          <a:extLst>
            <a:ext uri="{FF2B5EF4-FFF2-40B4-BE49-F238E27FC236}">
              <a16:creationId xmlns:a16="http://schemas.microsoft.com/office/drawing/2014/main" id="{5755D6E4-A0E5-41AB-BE16-90665A335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117232</xdr:colOff>
      <xdr:row>5</xdr:row>
      <xdr:rowOff>111368</xdr:rowOff>
    </xdr:from>
    <xdr:to>
      <xdr:col>5</xdr:col>
      <xdr:colOff>41032</xdr:colOff>
      <xdr:row>7</xdr:row>
      <xdr:rowOff>99645</xdr:rowOff>
    </xdr:to>
    <xdr:graphicFrame macro="">
      <xdr:nvGraphicFramePr>
        <xdr:cNvPr id="20" name="Chart 19">
          <a:hlinkClick xmlns:r="http://schemas.openxmlformats.org/officeDocument/2006/relationships" r:id="rId10"/>
          <a:extLst>
            <a:ext uri="{FF2B5EF4-FFF2-40B4-BE49-F238E27FC236}">
              <a16:creationId xmlns:a16="http://schemas.microsoft.com/office/drawing/2014/main" id="{E7D90742-A839-4D4A-86D8-7375C7E53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70338</xdr:colOff>
      <xdr:row>5</xdr:row>
      <xdr:rowOff>111370</xdr:rowOff>
    </xdr:from>
    <xdr:to>
      <xdr:col>7</xdr:col>
      <xdr:colOff>99647</xdr:colOff>
      <xdr:row>7</xdr:row>
      <xdr:rowOff>105508</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2C5C7A14-2881-45C7-8316-3E7CD551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226057</xdr:colOff>
      <xdr:row>10</xdr:row>
      <xdr:rowOff>73444</xdr:rowOff>
    </xdr:from>
    <xdr:to>
      <xdr:col>7</xdr:col>
      <xdr:colOff>50493</xdr:colOff>
      <xdr:row>15</xdr:row>
      <xdr:rowOff>65747</xdr:rowOff>
    </xdr:to>
    <xdr:graphicFrame macro="">
      <xdr:nvGraphicFramePr>
        <xdr:cNvPr id="33" name="Chart 32">
          <a:extLst>
            <a:ext uri="{FF2B5EF4-FFF2-40B4-BE49-F238E27FC236}">
              <a16:creationId xmlns:a16="http://schemas.microsoft.com/office/drawing/2014/main" id="{1569C94C-4B66-41E8-8825-6D368B641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211015</xdr:colOff>
          <xdr:row>7</xdr:row>
          <xdr:rowOff>137677</xdr:rowOff>
        </xdr:from>
        <xdr:to>
          <xdr:col>7</xdr:col>
          <xdr:colOff>58615</xdr:colOff>
          <xdr:row>10</xdr:row>
          <xdr:rowOff>17585</xdr:rowOff>
        </xdr:to>
        <xdr:pic>
          <xdr:nvPicPr>
            <xdr:cNvPr id="30" name="Picture 29">
              <a:extLst>
                <a:ext uri="{FF2B5EF4-FFF2-40B4-BE49-F238E27FC236}">
                  <a16:creationId xmlns:a16="http://schemas.microsoft.com/office/drawing/2014/main" id="{3672BE42-4797-425B-E647-46E5E3E762CF}"/>
                </a:ext>
              </a:extLst>
            </xdr:cNvPr>
            <xdr:cNvPicPr>
              <a:picLocks noChangeAspect="1" noChangeArrowheads="1"/>
              <a:extLst>
                <a:ext uri="{84589F7E-364E-4C9E-8A38-B11213B215E9}">
                  <a14:cameraTool cellRange="'Pivot Report'!$A$49:$D$51" spid="_x0000_s2148"/>
                </a:ext>
              </a:extLst>
            </xdr:cNvPicPr>
          </xdr:nvPicPr>
          <xdr:blipFill>
            <a:blip xmlns:r="http://schemas.openxmlformats.org/officeDocument/2006/relationships" r:embed="rId15"/>
            <a:srcRect/>
            <a:stretch>
              <a:fillRect/>
            </a:stretch>
          </xdr:blipFill>
          <xdr:spPr bwMode="auto">
            <a:xfrm>
              <a:off x="820615" y="1409631"/>
              <a:ext cx="3505200" cy="425031"/>
            </a:xfrm>
            <a:prstGeom prst="rect">
              <a:avLst/>
            </a:prstGeom>
            <a:noFill/>
            <a:effectLst/>
            <a:extLst>
              <a:ext uri="{909E8E84-426E-40DD-AFC4-6F175D3DCCD1}">
                <a14:hiddenFill>
                  <a:solidFill>
                    <a:srgbClr val="FFFFFF"/>
                  </a:solidFill>
                </a14:hiddenFill>
              </a:ext>
            </a:extLst>
          </xdr:spPr>
        </xdr:pic>
        <xdr:clientData/>
      </xdr:twoCellAnchor>
    </mc:Choice>
    <mc:Fallback/>
  </mc:AlternateContent>
  <xdr:twoCellAnchor editAs="absolute">
    <xdr:from>
      <xdr:col>3</xdr:col>
      <xdr:colOff>35169</xdr:colOff>
      <xdr:row>14</xdr:row>
      <xdr:rowOff>140678</xdr:rowOff>
    </xdr:from>
    <xdr:to>
      <xdr:col>5</xdr:col>
      <xdr:colOff>82061</xdr:colOff>
      <xdr:row>15</xdr:row>
      <xdr:rowOff>123094</xdr:rowOff>
    </xdr:to>
    <xdr:sp macro="" textlink="">
      <xdr:nvSpPr>
        <xdr:cNvPr id="34" name="TextBox 33">
          <a:extLst>
            <a:ext uri="{FF2B5EF4-FFF2-40B4-BE49-F238E27FC236}">
              <a16:creationId xmlns:a16="http://schemas.microsoft.com/office/drawing/2014/main" id="{6F8EBD0B-5C48-4C9E-9097-397528C1BE22}"/>
            </a:ext>
          </a:extLst>
        </xdr:cNvPr>
        <xdr:cNvSpPr txBox="1"/>
      </xdr:nvSpPr>
      <xdr:spPr>
        <a:xfrm>
          <a:off x="1863969" y="2684586"/>
          <a:ext cx="1266092" cy="164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aseline="0"/>
            <a:t>No. of Patient by Age group</a:t>
          </a:r>
        </a:p>
        <a:p>
          <a:pPr algn="ctr"/>
          <a:endParaRPr lang="en-US" sz="1100" baseline="0"/>
        </a:p>
        <a:p>
          <a:pPr algn="ctr"/>
          <a:endParaRPr lang="en-US" sz="1100"/>
        </a:p>
      </xdr:txBody>
    </xdr:sp>
    <xdr:clientData/>
  </xdr:twoCellAnchor>
  <xdr:twoCellAnchor>
    <xdr:from>
      <xdr:col>7</xdr:col>
      <xdr:colOff>202407</xdr:colOff>
      <xdr:row>0</xdr:row>
      <xdr:rowOff>70338</xdr:rowOff>
    </xdr:from>
    <xdr:to>
      <xdr:col>9</xdr:col>
      <xdr:colOff>289718</xdr:colOff>
      <xdr:row>7</xdr:row>
      <xdr:rowOff>87312</xdr:rowOff>
    </xdr:to>
    <xdr:graphicFrame macro="">
      <xdr:nvGraphicFramePr>
        <xdr:cNvPr id="37" name="Chart 36">
          <a:extLst>
            <a:ext uri="{FF2B5EF4-FFF2-40B4-BE49-F238E27FC236}">
              <a16:creationId xmlns:a16="http://schemas.microsoft.com/office/drawing/2014/main" id="{F46AF92D-64DE-4E5D-8A4C-EB9B660FC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333374</xdr:colOff>
      <xdr:row>6</xdr:row>
      <xdr:rowOff>154781</xdr:rowOff>
    </xdr:from>
    <xdr:to>
      <xdr:col>9</xdr:col>
      <xdr:colOff>226306</xdr:colOff>
      <xdr:row>7</xdr:row>
      <xdr:rowOff>137426</xdr:rowOff>
    </xdr:to>
    <xdr:sp macro="" textlink="">
      <xdr:nvSpPr>
        <xdr:cNvPr id="39" name="TextBox 38">
          <a:extLst>
            <a:ext uri="{FF2B5EF4-FFF2-40B4-BE49-F238E27FC236}">
              <a16:creationId xmlns:a16="http://schemas.microsoft.com/office/drawing/2014/main" id="{79557B89-4534-4637-8DB3-7146DAAA16F7}"/>
            </a:ext>
          </a:extLst>
        </xdr:cNvPr>
        <xdr:cNvSpPr txBox="1"/>
      </xdr:nvSpPr>
      <xdr:spPr>
        <a:xfrm>
          <a:off x="4611687" y="1250156"/>
          <a:ext cx="1115307" cy="165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aseline="0"/>
            <a:t>Patient Attend Status</a:t>
          </a:r>
        </a:p>
        <a:p>
          <a:pPr algn="ctr"/>
          <a:endParaRPr lang="en-US" sz="1100" baseline="0"/>
        </a:p>
        <a:p>
          <a:pPr algn="ctr"/>
          <a:endParaRPr lang="en-US" sz="1100"/>
        </a:p>
      </xdr:txBody>
    </xdr:sp>
    <xdr:clientData/>
  </xdr:twoCellAnchor>
  <xdr:twoCellAnchor>
    <xdr:from>
      <xdr:col>9</xdr:col>
      <xdr:colOff>205154</xdr:colOff>
      <xdr:row>0</xdr:row>
      <xdr:rowOff>58615</xdr:rowOff>
    </xdr:from>
    <xdr:to>
      <xdr:col>11</xdr:col>
      <xdr:colOff>416169</xdr:colOff>
      <xdr:row>7</xdr:row>
      <xdr:rowOff>105508</xdr:rowOff>
    </xdr:to>
    <xdr:graphicFrame macro="">
      <xdr:nvGraphicFramePr>
        <xdr:cNvPr id="40" name="Chart 39">
          <a:extLst>
            <a:ext uri="{FF2B5EF4-FFF2-40B4-BE49-F238E27FC236}">
              <a16:creationId xmlns:a16="http://schemas.microsoft.com/office/drawing/2014/main" id="{A78D6067-A8AA-4685-B173-F77CB5B55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381907</xdr:colOff>
      <xdr:row>6</xdr:row>
      <xdr:rowOff>142223</xdr:rowOff>
    </xdr:from>
    <xdr:to>
      <xdr:col>11</xdr:col>
      <xdr:colOff>284924</xdr:colOff>
      <xdr:row>7</xdr:row>
      <xdr:rowOff>149150</xdr:rowOff>
    </xdr:to>
    <xdr:sp macro="" textlink="">
      <xdr:nvSpPr>
        <xdr:cNvPr id="27" name="TextBox 26">
          <a:extLst>
            <a:ext uri="{FF2B5EF4-FFF2-40B4-BE49-F238E27FC236}">
              <a16:creationId xmlns:a16="http://schemas.microsoft.com/office/drawing/2014/main" id="{E517DFDD-AD5D-40CC-8286-D2003A228985}"/>
            </a:ext>
          </a:extLst>
        </xdr:cNvPr>
        <xdr:cNvSpPr txBox="1"/>
      </xdr:nvSpPr>
      <xdr:spPr>
        <a:xfrm>
          <a:off x="5868307" y="1232469"/>
          <a:ext cx="1122217" cy="18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b="0" baseline="0"/>
            <a:t>Gender wise Analysis</a:t>
          </a:r>
        </a:p>
        <a:p>
          <a:pPr algn="ctr"/>
          <a:endParaRPr lang="en-US" sz="1100" baseline="0"/>
        </a:p>
        <a:p>
          <a:pPr algn="ctr"/>
          <a:endParaRPr lang="en-US" sz="1100"/>
        </a:p>
      </xdr:txBody>
    </xdr:sp>
    <xdr:clientData/>
  </xdr:twoCellAnchor>
  <xdr:twoCellAnchor>
    <xdr:from>
      <xdr:col>7</xdr:col>
      <xdr:colOff>120893</xdr:colOff>
      <xdr:row>7</xdr:row>
      <xdr:rowOff>80645</xdr:rowOff>
    </xdr:from>
    <xdr:to>
      <xdr:col>11</xdr:col>
      <xdr:colOff>378537</xdr:colOff>
      <xdr:row>15</xdr:row>
      <xdr:rowOff>117988</xdr:rowOff>
    </xdr:to>
    <xdr:graphicFrame macro="">
      <xdr:nvGraphicFramePr>
        <xdr:cNvPr id="28" name="Chart 27">
          <a:extLst>
            <a:ext uri="{FF2B5EF4-FFF2-40B4-BE49-F238E27FC236}">
              <a16:creationId xmlns:a16="http://schemas.microsoft.com/office/drawing/2014/main" id="{4BE7E86B-5243-4296-9DC0-4EDEAFD61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5</xdr:col>
      <xdr:colOff>303160</xdr:colOff>
      <xdr:row>0</xdr:row>
      <xdr:rowOff>98323</xdr:rowOff>
    </xdr:from>
    <xdr:to>
      <xdr:col>7</xdr:col>
      <xdr:colOff>59530</xdr:colOff>
      <xdr:row>2</xdr:row>
      <xdr:rowOff>146844</xdr:rowOff>
    </xdr:to>
    <mc:AlternateContent xmlns:mc="http://schemas.openxmlformats.org/markup-compatibility/2006" xmlns:a14="http://schemas.microsoft.com/office/drawing/2010/main">
      <mc:Choice Requires="a14">
        <xdr:graphicFrame macro="">
          <xdr:nvGraphicFramePr>
            <xdr:cNvPr id="45" name="Date (Year) 1">
              <a:extLst>
                <a:ext uri="{FF2B5EF4-FFF2-40B4-BE49-F238E27FC236}">
                  <a16:creationId xmlns:a16="http://schemas.microsoft.com/office/drawing/2014/main" id="{D3CDAC3F-D164-4E6C-8832-2AAD103A69E9}"/>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59098" y="98323"/>
              <a:ext cx="978745" cy="413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0.26449</cdr:x>
      <cdr:y>0.91963</cdr:y>
    </cdr:from>
    <cdr:to>
      <cdr:x>0.89267</cdr:x>
      <cdr:y>1</cdr:y>
    </cdr:to>
    <cdr:sp macro="" textlink="">
      <cdr:nvSpPr>
        <cdr:cNvPr id="2" name="TextBox 21">
          <a:extLst xmlns:a="http://schemas.openxmlformats.org/drawingml/2006/main">
            <a:ext uri="{FF2B5EF4-FFF2-40B4-BE49-F238E27FC236}">
              <a16:creationId xmlns:a16="http://schemas.microsoft.com/office/drawing/2014/main" id="{7CC31F5E-87B8-FD2C-D72D-318EE82B936F}"/>
            </a:ext>
          </a:extLst>
        </cdr:cNvPr>
        <cdr:cNvSpPr txBox="1"/>
      </cdr:nvSpPr>
      <cdr:spPr>
        <a:xfrm xmlns:a="http://schemas.openxmlformats.org/drawingml/2006/main">
          <a:off x="714176" y="1378258"/>
          <a:ext cx="1696232" cy="12045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800" baseline="0"/>
            <a:t>No. of Patient by Department Referal</a:t>
          </a:r>
        </a:p>
        <a:p xmlns:a="http://schemas.openxmlformats.org/drawingml/2006/main">
          <a:pPr algn="ctr"/>
          <a:endParaRPr lang="en-US" sz="1100" baseline="0"/>
        </a:p>
        <a:p xmlns:a="http://schemas.openxmlformats.org/drawingml/2006/main">
          <a:pPr algn="ctr"/>
          <a:endParaRPr lang="en-US" sz="11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45720</xdr:colOff>
      <xdr:row>1</xdr:row>
      <xdr:rowOff>0</xdr:rowOff>
    </xdr:from>
    <xdr:to>
      <xdr:col>9</xdr:col>
      <xdr:colOff>510540</xdr:colOff>
      <xdr:row>15</xdr:row>
      <xdr:rowOff>106680</xdr:rowOff>
    </xdr:to>
    <xdr:graphicFrame macro="">
      <xdr:nvGraphicFramePr>
        <xdr:cNvPr id="2" name="Chart 1">
          <a:extLst>
            <a:ext uri="{FF2B5EF4-FFF2-40B4-BE49-F238E27FC236}">
              <a16:creationId xmlns:a16="http://schemas.microsoft.com/office/drawing/2014/main" id="{3D3C9793-D5A8-426F-945C-33C1BC4D8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0</xdr:row>
      <xdr:rowOff>160020</xdr:rowOff>
    </xdr:from>
    <xdr:to>
      <xdr:col>0</xdr:col>
      <xdr:colOff>327660</xdr:colOff>
      <xdr:row>2</xdr:row>
      <xdr:rowOff>83820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617D1BC4-0184-48F5-3A06-740FC9A798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8100" y="160020"/>
          <a:ext cx="289560" cy="2895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198120</xdr:colOff>
      <xdr:row>1</xdr:row>
      <xdr:rowOff>76200</xdr:rowOff>
    </xdr:from>
    <xdr:to>
      <xdr:col>12</xdr:col>
      <xdr:colOff>289560</xdr:colOff>
      <xdr:row>16</xdr:row>
      <xdr:rowOff>160020</xdr:rowOff>
    </xdr:to>
    <xdr:graphicFrame macro="">
      <xdr:nvGraphicFramePr>
        <xdr:cNvPr id="2" name="Chart 1">
          <a:extLst>
            <a:ext uri="{FF2B5EF4-FFF2-40B4-BE49-F238E27FC236}">
              <a16:creationId xmlns:a16="http://schemas.microsoft.com/office/drawing/2014/main" id="{BC226542-CE83-4B01-AE44-8C06E79FC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0.00583</cdr:x>
      <cdr:y>0</cdr:y>
    </cdr:from>
    <cdr:to>
      <cdr:x>0.04492</cdr:x>
      <cdr:y>0.10243</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17D1BC4-0184-48F5-3A06-740FC9A798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3180" y="0"/>
          <a:ext cx="289560" cy="28956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182880</xdr:colOff>
      <xdr:row>0</xdr:row>
      <xdr:rowOff>175260</xdr:rowOff>
    </xdr:from>
    <xdr:to>
      <xdr:col>12</xdr:col>
      <xdr:colOff>320040</xdr:colOff>
      <xdr:row>17</xdr:row>
      <xdr:rowOff>22860</xdr:rowOff>
    </xdr:to>
    <xdr:graphicFrame macro="">
      <xdr:nvGraphicFramePr>
        <xdr:cNvPr id="3" name="Chart 2">
          <a:extLst>
            <a:ext uri="{FF2B5EF4-FFF2-40B4-BE49-F238E27FC236}">
              <a16:creationId xmlns:a16="http://schemas.microsoft.com/office/drawing/2014/main" id="{A7197B8A-1560-49E9-BA06-A2463829C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0.00583</cdr:x>
      <cdr:y>0</cdr:y>
    </cdr:from>
    <cdr:to>
      <cdr:x>0.04492</cdr:x>
      <cdr:y>0.10243</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17D1BC4-0184-48F5-3A06-740FC9A79847}"/>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43180" y="0"/>
          <a:ext cx="289560" cy="28956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87037037" createdVersion="5" refreshedVersion="8" minRefreshableVersion="3" recordCount="0" supportSubquery="1" supportAdvancedDrill="1" xr:uid="{1DEFF77B-9D3A-46A6-ABCD-F52DF6EFBC21}">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8738426" createdVersion="5" refreshedVersion="8" minRefreshableVersion="3" recordCount="0" supportSubquery="1" supportAdvancedDrill="1" xr:uid="{41EAC0F5-3159-43CD-AE66-9F534F7DDDA5}">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87847222" createdVersion="5" refreshedVersion="8" minRefreshableVersion="3" recordCount="0" supportSubquery="1" supportAdvancedDrill="1" xr:uid="{3CA9A8F3-EA7C-4DCE-9AFF-60D9B6BDDBE3}">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88310184" createdVersion="5" refreshedVersion="8" minRefreshableVersion="3" recordCount="0" supportSubquery="1" supportAdvancedDrill="1" xr:uid="{82BB190D-E001-4BE5-A905-6C19E9C8B1D1}">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89120369" createdVersion="5" refreshedVersion="8" minRefreshableVersion="3" recordCount="0" supportSubquery="1" supportAdvancedDrill="1" xr:uid="{6FB1BD8F-85E3-464E-AD33-0135B22FCC6B}">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0162039" createdVersion="5" refreshedVersion="8" minRefreshableVersion="3" recordCount="0" supportSubquery="1" supportAdvancedDrill="1" xr:uid="{A00AC394-3DA3-49C7-A119-9F48558E5BF1}">
  <cacheSource type="external" connectionId="3"/>
  <cacheFields count="4">
    <cacheField name="[Calender_Table].[Date (Day)].[Date (Day)]" caption="Date (Day)" numFmtId="0" hierarchy="2" level="1">
      <sharedItems count="30">
        <s v="1-Nov"/>
        <s v="2-Nov"/>
        <s v="3-Nov"/>
        <s v="4-Nov"/>
        <s v="5-Nov"/>
        <s v="6-Nov"/>
        <s v="7-Nov"/>
        <s v="8-Nov"/>
        <s v="9-Nov"/>
        <s v="10-Nov"/>
        <s v="11-Nov"/>
        <s v="12-Nov"/>
        <s v="13-Nov"/>
        <s v="14-Nov"/>
        <s v="15-Nov"/>
        <s v="16-Nov"/>
        <s v="17-Nov"/>
        <s v="18-Nov"/>
        <s v="19-Nov"/>
        <s v="20-Nov"/>
        <s v="21-Nov"/>
        <s v="22-Nov"/>
        <s v="23-Nov"/>
        <s v="24-Nov"/>
        <s v="25-Nov"/>
        <s v="26-Nov"/>
        <s v="27-Nov"/>
        <s v="28-Nov"/>
        <s v="29-Nov"/>
        <s v="30-Nov"/>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1087963" createdVersion="5" refreshedVersion="8" minRefreshableVersion="3" recordCount="0" supportSubquery="1" supportAdvancedDrill="1" xr:uid="{8C5E6987-A372-4664-A929-9FA8E3A10827}">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2013886" createdVersion="5" refreshedVersion="8" minRefreshableVersion="3" recordCount="0" supportSubquery="1" supportAdvancedDrill="1" xr:uid="{2F537B2B-58E6-467D-ABE4-C7AE5E54947D}">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2708333" createdVersion="5" refreshedVersion="8" minRefreshableVersion="3" recordCount="0" supportSubquery="1" supportAdvancedDrill="1" xr:uid="{DB61ABDF-6D84-46AA-BE31-DCE66D3B299D}">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29"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3402779" createdVersion="5" refreshedVersion="8" minRefreshableVersion="3" recordCount="0" supportSubquery="1" supportAdvancedDrill="1" xr:uid="{FB0D5B6C-6225-4630-A84A-09AB66016BDB}">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4097226" createdVersion="5" refreshedVersion="8" minRefreshableVersion="3" recordCount="0" supportSubquery="1" supportAdvancedDrill="1" xr:uid="{E234D764-AB6C-4546-BDA5-9322560F2C47}">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539194907411" createdVersion="5" refreshedVersion="8" minRefreshableVersion="3" recordCount="0" supportSubquery="1" supportAdvancedDrill="1" xr:uid="{258F57C6-B544-46C7-9B49-737250B1B746}">
  <cacheSource type="external" connectionId="3"/>
  <cacheFields count="4">
    <cacheField name="[Calender_Table].[Date (Month)].[Date (Month)]" caption="Date (Month)" numFmtId="0" hierarchy="1" level="1">
      <sharedItems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3"/>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23.47958078704" createdVersion="3" refreshedVersion="8" minRefreshableVersion="3" recordCount="0" supportSubquery="1" supportAdvancedDrill="1" xr:uid="{F1E95261-2A20-4CD5-A2D0-908BABE84EFB}">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te]" caption="Patient Admission Datte" attribute="1" time="1" defaultMemberUniqueName="[Hospital Emergency Room Data].[Patient Admission Datte].[All]" allUniqueName="[Hospital Emergency Room Data].[Patient Admission Dat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592665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0338E-855C-4F22-8CC9-A49185557E17}" name="PivotTable7" cacheId="10"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21">
  <location ref="A80:B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i>
    <i>
      <x v="1"/>
    </i>
    <i>
      <x v="6"/>
    </i>
    <i>
      <x v="5"/>
    </i>
    <i>
      <x v="2"/>
    </i>
    <i>
      <x v="4"/>
    </i>
    <i t="grand">
      <x/>
    </i>
  </rowItems>
  <colItems count="1">
    <i/>
  </colItems>
  <dataFields count="1">
    <dataField name="Count of Department Referral" fld="2" subtotal="count" baseField="0" baseItem="0"/>
  </dataFields>
  <formats count="2">
    <format dxfId="1">
      <pivotArea outline="0" collapsedLevelsAreSubtotals="1" fieldPosition="0"/>
    </format>
    <format dxfId="0">
      <pivotArea collapsedLevelsAreSubtotals="1" fieldPosition="0">
        <references count="1">
          <reference field="1" count="0"/>
        </references>
      </pivotArea>
    </format>
  </formats>
  <chartFormats count="1">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422425-52A6-46F3-A290-46178D3121D3}" name="PivotTable14" cacheId="9"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18">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
      <pivotArea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1" count="1" selected="0">
            <x v="0"/>
          </reference>
        </references>
      </pivotArea>
    </chartFormat>
    <chartFormat chart="16" format="3">
      <pivotArea type="data" outline="0" fieldPosition="0">
        <references count="2">
          <reference field="4294967294" count="1" selected="0">
            <x v="0"/>
          </reference>
          <reference field="1"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F47431-1C7A-4EC5-ACB3-D5119ACD4B92}" name="PivotTable2" cacheId="0" applyNumberFormats="0" applyBorderFormats="0" applyFontFormats="0" applyPatternFormats="0" applyAlignmentFormats="0" applyWidthHeightFormats="1" dataCaption="Values" tag="4478c8c5-a1f7-4e71-994e-9e66094f8ec2" updatedVersion="8" minRefreshableVersion="3" subtotalHiddenItems="1" itemPrintTitles="1" createdVersion="5" indent="0" outline="1" outlineData="1" multipleFieldFilters="0" chartFormat="14">
  <location ref="C5:D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5FD4CF-8E97-4F65-A424-E2F1A4942BDE}" name="PivotTable6" cacheId="5" applyNumberFormats="0" applyBorderFormats="0" applyFontFormats="0" applyPatternFormats="0" applyAlignmentFormats="0" applyWidthHeightFormats="1" dataCaption="Values" tag="304d57b4-0cdb-46c3-af3c-816b2750a275" updatedVersion="8" minRefreshableVersion="3" subtotalHiddenItems="1" itemPrintTitles="1" createdVersion="5" indent="0" outline="1" outlineData="1" multipleFieldFilters="0" chartFormat="32">
  <location ref="K5:L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
      <pivotArea collapsedLevelsAreSubtotals="1" fieldPosition="0">
        <references count="1">
          <reference field="0" count="0"/>
        </references>
      </pivotArea>
    </format>
  </formats>
  <chartFormats count="3">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89B68F-C8A8-4D21-BCF5-F94498E5F39B}" name="PivotTable5" cacheId="4" applyNumberFormats="0" applyBorderFormats="0" applyFontFormats="0" applyPatternFormats="0" applyAlignmentFormats="0" applyWidthHeightFormats="1" dataCaption="Values" tag="317b81d4-8310-4481-9f00-66e266a085de" updatedVersion="8" minRefreshableVersion="3" subtotalHiddenItems="1" itemPrintTitles="1" createdVersion="5" indent="0" outline="1" outlineData="1" multipleFieldFilters="0" chartFormat="27">
  <location ref="G5:H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4">
      <pivotArea collapsedLevelsAreSubtotals="1" fieldPosition="0">
        <references count="1">
          <reference field="0" count="0"/>
        </references>
      </pivotArea>
    </format>
  </formats>
  <chartFormats count="3">
    <chartFormat chart="1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ED416D-DA9C-402B-A19F-9660755437D0}" name="PivotTable3" cacheId="2" applyNumberFormats="0" applyBorderFormats="0" applyFontFormats="0" applyPatternFormats="0" applyAlignmentFormats="0" applyWidthHeightFormats="1" dataCaption="Values" tag="518ee5f1-3cf5-4dba-864e-82e4adf1dafb"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B45D5-B58C-4136-93E3-09CD835E0E02}" name="PivotTable1" cacheId="1" applyNumberFormats="0" applyBorderFormats="0" applyFontFormats="0" applyPatternFormats="0" applyAlignmentFormats="0" applyWidthHeightFormats="1" dataCaption="Values" tag="ba6d87fb-cb66-4d10-aa8f-7517c435714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CFEC1C-1911-4CD3-AE4C-0D555A17D769}" name="PivotTable13" cacheId="8"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13">
  <location ref="A67:B7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7">
      <pivotArea outline="0" collapsedLevelsAreSubtotals="1" fieldPosition="0"/>
    </format>
    <format dxfId="6">
      <pivotArea collapsedLevelsAreSubtotals="1" fieldPosition="0">
        <references count="1">
          <reference field="1" count="0"/>
        </references>
      </pivotArea>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6DDA06-A261-4F8A-A80E-9692776EFA5B}" name="PivotTable12" cacheId="7"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5">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9">
      <pivotArea outline="0" collapsedLevelsAreSubtotals="1" fieldPosition="0"/>
    </format>
    <format dxfId="8">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701892-445F-46F8-A1D7-799C0B5C9624}" name="PivotTable4" cacheId="3"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24B7A6A-FEC9-4AD5-A843-8E93CA2C959B}" name="PivotTable9" cacheId="11"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21">
  <location ref="A92:A9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1">
      <pivotArea outline="0" collapsedLevelsAreSubtotals="1" fieldPosition="0"/>
    </format>
  </formats>
  <pivotHierarchies count="34">
    <pivotHierarchy dragToData="1"/>
    <pivotHierarchy multipleItemSelectionAllowed="1" dragToData="1">
      <members count="1" level="1">
        <member name="[Calender_Table].[Date (Month)].&amp;[Nov]"/>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6BC5A2-F5A8-4660-A0CD-DF22D6107ACA}" name="PivotTable8" cacheId="6" applyNumberFormats="0" applyBorderFormats="0" applyFontFormats="0" applyPatternFormats="0" applyAlignmentFormats="0" applyWidthHeightFormats="1" dataCaption="Values" tag="e452658a-1e04-4a1e-9616-414042116ad5" updatedVersion="8" minRefreshableVersion="3" subtotalHiddenItems="1" itemPrintTitles="1" createdVersion="5" indent="0" outline="1" outlineData="1" multipleFieldFilters="0" chartFormat="2">
  <location ref="A40:C43"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4">
      <pivotArea outline="0" collapsedLevelsAreSubtotals="1" fieldPosition="0"/>
    </format>
    <format dxfId="13">
      <pivotArea collapsedLevelsAreSubtotals="1" fieldPosition="0">
        <references count="1">
          <reference field="2" count="0"/>
        </references>
      </pivotArea>
    </format>
    <format dxfId="12">
      <pivotArea outline="0" fieldPosition="0">
        <references count="1">
          <reference field="4294967294"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Nov]"/>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C7AF9083-70F7-4057-80D4-1C9C984C403E}" sourceName="[Calender_Table].[Date (Month)]">
  <pivotTables>
    <pivotTable tabId="1" name="PivotTable2"/>
    <pivotTable tabId="1" name="PivotTable1"/>
    <pivotTable tabId="1" name="PivotTable3"/>
    <pivotTable tabId="1" name="PivotTable4"/>
    <pivotTable tabId="1" name="PivotTable5"/>
    <pivotTable tabId="1" name="PivotTable6"/>
    <pivotTable tabId="1" name="PivotTable8"/>
    <pivotTable tabId="1" name="PivotTable12"/>
    <pivotTable tabId="1" name="PivotTable13"/>
    <pivotTable tabId="1" name="PivotTable14"/>
    <pivotTable tabId="1" name="PivotTable7"/>
    <pivotTable tabId="1" name="PivotTable9"/>
  </pivotTables>
  <data>
    <olap pivotCacheId="2059266524">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Nov]"/>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714523F-987F-40C3-AD9D-8A3FCB248366}" sourceName="[Calender_Table].[Date (Year)]">
  <pivotTables>
    <pivotTable tabId="1" name="PivotTable9"/>
    <pivotTable tabId="1" name="PivotTable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s>
  <data>
    <olap pivotCacheId="205926652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BDCF5128-365B-440B-8823-D3648CF2F09A}" cache="Slicer_Date__Month" caption="Date (Month)" showCaption="0" level="1" style="My Style" rowHeight="126000"/>
  <slicer name="Date (Year) 1" xr10:uid="{687CB867-7F6B-49CC-B636-E69E80C36E57}"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AD2F-0184-4A63-A562-41B1DC1F11AA}">
  <dimension ref="A3:L94"/>
  <sheetViews>
    <sheetView tabSelected="1" topLeftCell="A64" zoomScale="79" zoomScaleNormal="83" workbookViewId="0">
      <selection activeCell="H20" sqref="H20"/>
    </sheetView>
  </sheetViews>
  <sheetFormatPr defaultRowHeight="14.4" x14ac:dyDescent="0.3"/>
  <cols>
    <col min="1" max="1" width="17.44140625" customWidth="1"/>
    <col min="2" max="2" width="14.77734375" customWidth="1"/>
    <col min="3" max="3" width="11.44140625" customWidth="1"/>
    <col min="4" max="4" width="19.77734375" customWidth="1"/>
    <col min="7" max="7" width="15.109375" bestFit="1" customWidth="1"/>
    <col min="8" max="8" width="23.33203125" bestFit="1" customWidth="1"/>
    <col min="11" max="11" width="12.44140625" bestFit="1" customWidth="1"/>
    <col min="12" max="12" width="24.21875" bestFit="1" customWidth="1"/>
  </cols>
  <sheetData>
    <row r="3" spans="1:12" x14ac:dyDescent="0.3">
      <c r="A3" t="s">
        <v>1</v>
      </c>
    </row>
    <row r="4" spans="1:12" x14ac:dyDescent="0.3">
      <c r="A4" t="s">
        <v>0</v>
      </c>
      <c r="C4" t="s">
        <v>6</v>
      </c>
      <c r="G4" t="s">
        <v>7</v>
      </c>
      <c r="K4" t="s">
        <v>10</v>
      </c>
    </row>
    <row r="5" spans="1:12" x14ac:dyDescent="0.3">
      <c r="A5">
        <v>464</v>
      </c>
      <c r="C5" s="3" t="s">
        <v>5</v>
      </c>
      <c r="D5" t="s">
        <v>0</v>
      </c>
      <c r="G5" s="3" t="s">
        <v>5</v>
      </c>
      <c r="H5" t="s">
        <v>2</v>
      </c>
      <c r="K5" s="3" t="s">
        <v>5</v>
      </c>
      <c r="L5" t="s">
        <v>3</v>
      </c>
    </row>
    <row r="6" spans="1:12" x14ac:dyDescent="0.3">
      <c r="C6" s="4" t="s">
        <v>47</v>
      </c>
      <c r="D6">
        <v>17</v>
      </c>
      <c r="G6" s="4" t="s">
        <v>47</v>
      </c>
      <c r="H6" s="1">
        <v>35.117647058823529</v>
      </c>
      <c r="K6" s="4" t="s">
        <v>47</v>
      </c>
      <c r="L6" s="1">
        <v>4.666666666666667</v>
      </c>
    </row>
    <row r="7" spans="1:12" x14ac:dyDescent="0.3">
      <c r="C7" s="4" t="s">
        <v>48</v>
      </c>
      <c r="D7">
        <v>12</v>
      </c>
      <c r="G7" s="4" t="s">
        <v>48</v>
      </c>
      <c r="H7" s="1">
        <v>28.916666666666668</v>
      </c>
      <c r="K7" s="4" t="s">
        <v>48</v>
      </c>
      <c r="L7" s="1">
        <v>4.666666666666667</v>
      </c>
    </row>
    <row r="8" spans="1:12" x14ac:dyDescent="0.3">
      <c r="C8" s="4" t="s">
        <v>49</v>
      </c>
      <c r="D8">
        <v>14</v>
      </c>
      <c r="G8" s="4" t="s">
        <v>49</v>
      </c>
      <c r="H8" s="1">
        <v>34.357142857142854</v>
      </c>
      <c r="K8" s="4" t="s">
        <v>49</v>
      </c>
      <c r="L8" s="1">
        <v>5.4</v>
      </c>
    </row>
    <row r="9" spans="1:12" x14ac:dyDescent="0.3">
      <c r="C9" s="4" t="s">
        <v>50</v>
      </c>
      <c r="D9">
        <v>17</v>
      </c>
      <c r="G9" s="4" t="s">
        <v>50</v>
      </c>
      <c r="H9" s="1">
        <v>29.705882352941178</v>
      </c>
      <c r="K9" s="4" t="s">
        <v>50</v>
      </c>
      <c r="L9" s="1">
        <v>5.2</v>
      </c>
    </row>
    <row r="10" spans="1:12" x14ac:dyDescent="0.3">
      <c r="A10" t="s">
        <v>2</v>
      </c>
      <c r="C10" s="4" t="s">
        <v>51</v>
      </c>
      <c r="D10">
        <v>17</v>
      </c>
      <c r="G10" s="4" t="s">
        <v>51</v>
      </c>
      <c r="H10" s="1">
        <v>33.176470588235297</v>
      </c>
      <c r="K10" s="4" t="s">
        <v>51</v>
      </c>
      <c r="L10" s="1">
        <v>2.4285714285714284</v>
      </c>
    </row>
    <row r="11" spans="1:12" x14ac:dyDescent="0.3">
      <c r="A11" s="1">
        <v>35.185344827586206</v>
      </c>
      <c r="C11" s="4" t="s">
        <v>52</v>
      </c>
      <c r="D11">
        <v>16</v>
      </c>
      <c r="G11" s="4" t="s">
        <v>52</v>
      </c>
      <c r="H11" s="1">
        <v>39.8125</v>
      </c>
      <c r="K11" s="4" t="s">
        <v>52</v>
      </c>
      <c r="L11" s="1">
        <v>4.8</v>
      </c>
    </row>
    <row r="12" spans="1:12" x14ac:dyDescent="0.3">
      <c r="C12" s="4" t="s">
        <v>53</v>
      </c>
      <c r="D12">
        <v>19</v>
      </c>
      <c r="G12" s="4" t="s">
        <v>53</v>
      </c>
      <c r="H12" s="1">
        <v>36.578947368421055</v>
      </c>
      <c r="K12" s="4" t="s">
        <v>53</v>
      </c>
      <c r="L12" s="1">
        <v>6.5714285714285712</v>
      </c>
    </row>
    <row r="13" spans="1:12" x14ac:dyDescent="0.3">
      <c r="C13" s="4" t="s">
        <v>54</v>
      </c>
      <c r="D13">
        <v>14</v>
      </c>
      <c r="G13" s="4" t="s">
        <v>54</v>
      </c>
      <c r="H13" s="1">
        <v>34.5</v>
      </c>
      <c r="K13" s="4" t="s">
        <v>54</v>
      </c>
      <c r="L13" s="1">
        <v>3</v>
      </c>
    </row>
    <row r="14" spans="1:12" x14ac:dyDescent="0.3">
      <c r="C14" s="4" t="s">
        <v>55</v>
      </c>
      <c r="D14">
        <v>17</v>
      </c>
      <c r="G14" s="4" t="s">
        <v>55</v>
      </c>
      <c r="H14" s="1">
        <v>39.764705882352942</v>
      </c>
      <c r="K14" s="4" t="s">
        <v>55</v>
      </c>
      <c r="L14" s="1">
        <v>4.5999999999999996</v>
      </c>
    </row>
    <row r="15" spans="1:12" x14ac:dyDescent="0.3">
      <c r="A15" t="s">
        <v>3</v>
      </c>
      <c r="C15" s="4" t="s">
        <v>56</v>
      </c>
      <c r="D15">
        <v>13</v>
      </c>
      <c r="G15" s="4" t="s">
        <v>56</v>
      </c>
      <c r="H15" s="1">
        <v>35.230769230769234</v>
      </c>
      <c r="K15" s="4" t="s">
        <v>56</v>
      </c>
      <c r="L15" s="1">
        <v>3.875</v>
      </c>
    </row>
    <row r="16" spans="1:12" x14ac:dyDescent="0.3">
      <c r="A16" s="1">
        <v>5.0928571428571425</v>
      </c>
      <c r="C16" s="4" t="s">
        <v>57</v>
      </c>
      <c r="D16">
        <v>12</v>
      </c>
      <c r="G16" s="4" t="s">
        <v>57</v>
      </c>
      <c r="H16" s="1">
        <v>41.5</v>
      </c>
      <c r="K16" s="4" t="s">
        <v>57</v>
      </c>
      <c r="L16" s="1">
        <v>7.25</v>
      </c>
    </row>
    <row r="17" spans="3:12" x14ac:dyDescent="0.3">
      <c r="C17" s="4" t="s">
        <v>58</v>
      </c>
      <c r="D17">
        <v>16</v>
      </c>
      <c r="G17" s="4" t="s">
        <v>58</v>
      </c>
      <c r="H17" s="1">
        <v>38.0625</v>
      </c>
      <c r="K17" s="4" t="s">
        <v>58</v>
      </c>
      <c r="L17" s="1">
        <v>3</v>
      </c>
    </row>
    <row r="18" spans="3:12" x14ac:dyDescent="0.3">
      <c r="C18" s="4" t="s">
        <v>59</v>
      </c>
      <c r="D18">
        <v>9</v>
      </c>
      <c r="G18" s="4" t="s">
        <v>59</v>
      </c>
      <c r="H18" s="1">
        <v>29.222222222222221</v>
      </c>
      <c r="K18" s="4" t="s">
        <v>59</v>
      </c>
      <c r="L18" s="1">
        <v>8</v>
      </c>
    </row>
    <row r="19" spans="3:12" x14ac:dyDescent="0.3">
      <c r="C19" s="4" t="s">
        <v>60</v>
      </c>
      <c r="D19">
        <v>17</v>
      </c>
      <c r="G19" s="4" t="s">
        <v>60</v>
      </c>
      <c r="H19" s="1">
        <v>31</v>
      </c>
      <c r="K19" s="4" t="s">
        <v>60</v>
      </c>
      <c r="L19" s="1">
        <v>6</v>
      </c>
    </row>
    <row r="20" spans="3:12" x14ac:dyDescent="0.3">
      <c r="C20" s="4" t="s">
        <v>61</v>
      </c>
      <c r="D20">
        <v>16</v>
      </c>
      <c r="G20" s="4" t="s">
        <v>61</v>
      </c>
      <c r="H20" s="1">
        <v>37.3125</v>
      </c>
      <c r="K20" s="4" t="s">
        <v>61</v>
      </c>
      <c r="L20" s="1">
        <v>3.6666666666666665</v>
      </c>
    </row>
    <row r="21" spans="3:12" x14ac:dyDescent="0.3">
      <c r="C21" s="4" t="s">
        <v>62</v>
      </c>
      <c r="D21">
        <v>17</v>
      </c>
      <c r="G21" s="4" t="s">
        <v>62</v>
      </c>
      <c r="H21" s="1">
        <v>35.647058823529413</v>
      </c>
      <c r="K21" s="4" t="s">
        <v>62</v>
      </c>
      <c r="L21" s="1">
        <v>5.333333333333333</v>
      </c>
    </row>
    <row r="22" spans="3:12" x14ac:dyDescent="0.3">
      <c r="C22" s="4" t="s">
        <v>63</v>
      </c>
      <c r="D22">
        <v>21</v>
      </c>
      <c r="G22" s="4" t="s">
        <v>63</v>
      </c>
      <c r="H22" s="1">
        <v>36.476190476190474</v>
      </c>
      <c r="K22" s="4" t="s">
        <v>63</v>
      </c>
      <c r="L22" s="1">
        <v>6.1111111111111107</v>
      </c>
    </row>
    <row r="23" spans="3:12" x14ac:dyDescent="0.3">
      <c r="C23" s="4" t="s">
        <v>64</v>
      </c>
      <c r="D23">
        <v>15</v>
      </c>
      <c r="G23" s="4" t="s">
        <v>64</v>
      </c>
      <c r="H23" s="1">
        <v>40.799999999999997</v>
      </c>
      <c r="K23" s="4" t="s">
        <v>64</v>
      </c>
      <c r="L23" s="1">
        <v>6.5</v>
      </c>
    </row>
    <row r="24" spans="3:12" x14ac:dyDescent="0.3">
      <c r="C24" s="4" t="s">
        <v>65</v>
      </c>
      <c r="D24">
        <v>22</v>
      </c>
      <c r="G24" s="4" t="s">
        <v>65</v>
      </c>
      <c r="H24" s="1">
        <v>30.318181818181817</v>
      </c>
      <c r="K24" s="4" t="s">
        <v>65</v>
      </c>
      <c r="L24" s="1">
        <v>5</v>
      </c>
    </row>
    <row r="25" spans="3:12" x14ac:dyDescent="0.3">
      <c r="C25" s="4" t="s">
        <v>66</v>
      </c>
      <c r="D25">
        <v>14</v>
      </c>
      <c r="G25" s="4" t="s">
        <v>66</v>
      </c>
      <c r="H25" s="1">
        <v>35.714285714285715</v>
      </c>
      <c r="K25" s="4" t="s">
        <v>66</v>
      </c>
      <c r="L25" s="1">
        <v>5.8</v>
      </c>
    </row>
    <row r="26" spans="3:12" x14ac:dyDescent="0.3">
      <c r="C26" s="4" t="s">
        <v>67</v>
      </c>
      <c r="D26">
        <v>13</v>
      </c>
      <c r="G26" s="4" t="s">
        <v>67</v>
      </c>
      <c r="H26" s="1">
        <v>33.53846153846154</v>
      </c>
      <c r="K26" s="4" t="s">
        <v>67</v>
      </c>
      <c r="L26" s="1">
        <v>6</v>
      </c>
    </row>
    <row r="27" spans="3:12" x14ac:dyDescent="0.3">
      <c r="C27" s="4" t="s">
        <v>68</v>
      </c>
      <c r="D27">
        <v>10</v>
      </c>
      <c r="G27" s="4" t="s">
        <v>68</v>
      </c>
      <c r="H27" s="1">
        <v>37.5</v>
      </c>
      <c r="K27" s="4" t="s">
        <v>68</v>
      </c>
      <c r="L27" s="1">
        <v>8</v>
      </c>
    </row>
    <row r="28" spans="3:12" x14ac:dyDescent="0.3">
      <c r="C28" s="4" t="s">
        <v>69</v>
      </c>
      <c r="D28">
        <v>17</v>
      </c>
      <c r="G28" s="4" t="s">
        <v>69</v>
      </c>
      <c r="H28" s="1">
        <v>38.058823529411768</v>
      </c>
      <c r="K28" s="4" t="s">
        <v>69</v>
      </c>
      <c r="L28" s="1">
        <v>7</v>
      </c>
    </row>
    <row r="29" spans="3:12" x14ac:dyDescent="0.3">
      <c r="C29" s="4" t="s">
        <v>70</v>
      </c>
      <c r="D29">
        <v>17</v>
      </c>
      <c r="G29" s="4" t="s">
        <v>70</v>
      </c>
      <c r="H29" s="1">
        <v>28.117647058823529</v>
      </c>
      <c r="K29" s="4" t="s">
        <v>70</v>
      </c>
      <c r="L29" s="1">
        <v>3.75</v>
      </c>
    </row>
    <row r="30" spans="3:12" x14ac:dyDescent="0.3">
      <c r="C30" s="4" t="s">
        <v>71</v>
      </c>
      <c r="D30">
        <v>13</v>
      </c>
      <c r="G30" s="4" t="s">
        <v>71</v>
      </c>
      <c r="H30" s="1">
        <v>31.846153846153847</v>
      </c>
      <c r="K30" s="4" t="s">
        <v>71</v>
      </c>
      <c r="L30" s="1">
        <v>1</v>
      </c>
    </row>
    <row r="31" spans="3:12" x14ac:dyDescent="0.3">
      <c r="C31" s="4" t="s">
        <v>72</v>
      </c>
      <c r="D31">
        <v>11</v>
      </c>
      <c r="G31" s="4" t="s">
        <v>72</v>
      </c>
      <c r="H31" s="1">
        <v>43.636363636363633</v>
      </c>
      <c r="K31" s="4" t="s">
        <v>72</v>
      </c>
      <c r="L31" s="1">
        <v>9</v>
      </c>
    </row>
    <row r="32" spans="3:12" x14ac:dyDescent="0.3">
      <c r="C32" s="4" t="s">
        <v>73</v>
      </c>
      <c r="D32">
        <v>19</v>
      </c>
      <c r="G32" s="4" t="s">
        <v>73</v>
      </c>
      <c r="H32" s="1">
        <v>38.842105263157897</v>
      </c>
      <c r="K32" s="4" t="s">
        <v>73</v>
      </c>
      <c r="L32" s="1">
        <v>5.8</v>
      </c>
    </row>
    <row r="33" spans="1:12" x14ac:dyDescent="0.3">
      <c r="C33" s="4" t="s">
        <v>74</v>
      </c>
      <c r="D33">
        <v>16</v>
      </c>
      <c r="G33" s="4" t="s">
        <v>74</v>
      </c>
      <c r="H33" s="1">
        <v>29.5625</v>
      </c>
      <c r="K33" s="4" t="s">
        <v>74</v>
      </c>
      <c r="L33" s="1">
        <v>4</v>
      </c>
    </row>
    <row r="34" spans="1:12" x14ac:dyDescent="0.3">
      <c r="C34" s="4" t="s">
        <v>75</v>
      </c>
      <c r="D34">
        <v>15</v>
      </c>
      <c r="G34" s="4" t="s">
        <v>75</v>
      </c>
      <c r="H34" s="1">
        <v>37.466666666666669</v>
      </c>
      <c r="K34" s="4" t="s">
        <v>75</v>
      </c>
      <c r="L34" s="1">
        <v>6.4</v>
      </c>
    </row>
    <row r="35" spans="1:12" x14ac:dyDescent="0.3">
      <c r="C35" s="4" t="s">
        <v>76</v>
      </c>
      <c r="D35">
        <v>18</v>
      </c>
      <c r="G35" s="4" t="s">
        <v>76</v>
      </c>
      <c r="H35" s="1">
        <v>35.277777777777779</v>
      </c>
      <c r="K35" s="4" t="s">
        <v>76</v>
      </c>
      <c r="L35" s="1">
        <v>5</v>
      </c>
    </row>
    <row r="36" spans="1:12" x14ac:dyDescent="0.3">
      <c r="C36" s="4" t="s">
        <v>4</v>
      </c>
      <c r="D36">
        <v>464</v>
      </c>
      <c r="G36" s="4" t="s">
        <v>4</v>
      </c>
      <c r="H36">
        <v>35.185344827586206</v>
      </c>
      <c r="K36" s="4" t="s">
        <v>4</v>
      </c>
      <c r="L36">
        <v>5.0928571428571425</v>
      </c>
    </row>
    <row r="40" spans="1:12" x14ac:dyDescent="0.3">
      <c r="A40" s="3" t="s">
        <v>5</v>
      </c>
      <c r="B40" t="s">
        <v>14</v>
      </c>
      <c r="C40" t="s">
        <v>15</v>
      </c>
    </row>
    <row r="41" spans="1:12" x14ac:dyDescent="0.3">
      <c r="A41" s="4" t="s">
        <v>12</v>
      </c>
      <c r="B41" s="12">
        <v>231</v>
      </c>
      <c r="C41" s="10">
        <v>0.49784482758620691</v>
      </c>
    </row>
    <row r="42" spans="1:12" x14ac:dyDescent="0.3">
      <c r="A42" s="4" t="s">
        <v>13</v>
      </c>
      <c r="B42" s="12">
        <v>233</v>
      </c>
      <c r="C42" s="10">
        <v>0.50215517241379315</v>
      </c>
    </row>
    <row r="43" spans="1:12" x14ac:dyDescent="0.3">
      <c r="A43" s="4" t="s">
        <v>4</v>
      </c>
      <c r="B43" s="1">
        <v>464</v>
      </c>
      <c r="C43" s="10">
        <v>1</v>
      </c>
    </row>
    <row r="47" spans="1:12" x14ac:dyDescent="0.3">
      <c r="D47" s="11"/>
    </row>
    <row r="49" spans="1:4" x14ac:dyDescent="0.3">
      <c r="A49" s="14" t="s">
        <v>28</v>
      </c>
      <c r="B49" s="14" t="s">
        <v>30</v>
      </c>
      <c r="C49" s="14" t="s">
        <v>29</v>
      </c>
      <c r="D49" s="13"/>
    </row>
    <row r="50" spans="1:4" x14ac:dyDescent="0.3">
      <c r="A50" s="15" t="str">
        <f>A42</f>
        <v>Not Admitted</v>
      </c>
      <c r="B50" s="15">
        <f t="shared" ref="B50:C50" si="0">B42</f>
        <v>233</v>
      </c>
      <c r="C50" s="16">
        <f t="shared" si="0"/>
        <v>0.50215517241379315</v>
      </c>
    </row>
    <row r="51" spans="1:4" x14ac:dyDescent="0.3">
      <c r="A51" s="15" t="str">
        <f>A41</f>
        <v>Admitted</v>
      </c>
      <c r="B51" s="15">
        <f>B41</f>
        <v>231</v>
      </c>
      <c r="C51" s="16">
        <f>C41</f>
        <v>0.49784482758620691</v>
      </c>
    </row>
    <row r="52" spans="1:4" x14ac:dyDescent="0.3">
      <c r="A52" s="15"/>
      <c r="B52" s="15"/>
      <c r="C52" s="15"/>
    </row>
    <row r="53" spans="1:4" x14ac:dyDescent="0.3">
      <c r="A53" t="s">
        <v>32</v>
      </c>
    </row>
    <row r="54" spans="1:4" x14ac:dyDescent="0.3">
      <c r="A54" s="3" t="s">
        <v>5</v>
      </c>
      <c r="B54" t="s">
        <v>31</v>
      </c>
    </row>
    <row r="55" spans="1:4" x14ac:dyDescent="0.3">
      <c r="A55" s="4" t="s">
        <v>24</v>
      </c>
      <c r="B55" s="12">
        <v>63</v>
      </c>
    </row>
    <row r="56" spans="1:4" x14ac:dyDescent="0.3">
      <c r="A56" s="4" t="s">
        <v>20</v>
      </c>
      <c r="B56" s="12">
        <v>65</v>
      </c>
    </row>
    <row r="57" spans="1:4" x14ac:dyDescent="0.3">
      <c r="A57" s="4" t="s">
        <v>25</v>
      </c>
      <c r="B57" s="12">
        <v>49</v>
      </c>
    </row>
    <row r="58" spans="1:4" x14ac:dyDescent="0.3">
      <c r="A58" s="4" t="s">
        <v>26</v>
      </c>
      <c r="B58" s="12">
        <v>61</v>
      </c>
    </row>
    <row r="59" spans="1:4" x14ac:dyDescent="0.3">
      <c r="A59" s="4" t="s">
        <v>22</v>
      </c>
      <c r="B59" s="12">
        <v>56</v>
      </c>
    </row>
    <row r="60" spans="1:4" x14ac:dyDescent="0.3">
      <c r="A60" s="4" t="s">
        <v>23</v>
      </c>
      <c r="B60" s="12">
        <v>61</v>
      </c>
    </row>
    <row r="61" spans="1:4" x14ac:dyDescent="0.3">
      <c r="A61" s="4" t="s">
        <v>19</v>
      </c>
      <c r="B61" s="12">
        <v>62</v>
      </c>
    </row>
    <row r="62" spans="1:4" x14ac:dyDescent="0.3">
      <c r="A62" s="4" t="s">
        <v>21</v>
      </c>
      <c r="B62" s="12">
        <v>47</v>
      </c>
    </row>
    <row r="63" spans="1:4" x14ac:dyDescent="0.3">
      <c r="A63" s="4" t="s">
        <v>4</v>
      </c>
      <c r="B63" s="1">
        <v>464</v>
      </c>
    </row>
    <row r="66" spans="1:2" x14ac:dyDescent="0.3">
      <c r="A66" s="4" t="s">
        <v>34</v>
      </c>
    </row>
    <row r="67" spans="1:2" x14ac:dyDescent="0.3">
      <c r="A67" s="3" t="s">
        <v>5</v>
      </c>
      <c r="B67" t="s">
        <v>33</v>
      </c>
    </row>
    <row r="68" spans="1:2" x14ac:dyDescent="0.3">
      <c r="A68" s="4" t="s">
        <v>16</v>
      </c>
      <c r="B68" s="12">
        <v>267</v>
      </c>
    </row>
    <row r="69" spans="1:2" x14ac:dyDescent="0.3">
      <c r="A69" s="4" t="s">
        <v>17</v>
      </c>
      <c r="B69" s="12">
        <v>197</v>
      </c>
    </row>
    <row r="70" spans="1:2" x14ac:dyDescent="0.3">
      <c r="A70" s="4" t="s">
        <v>4</v>
      </c>
      <c r="B70" s="1">
        <v>464</v>
      </c>
    </row>
    <row r="72" spans="1:2" x14ac:dyDescent="0.3">
      <c r="A72" s="4" t="s">
        <v>36</v>
      </c>
    </row>
    <row r="73" spans="1:2" x14ac:dyDescent="0.3">
      <c r="A73" s="3" t="s">
        <v>5</v>
      </c>
      <c r="B73" t="s">
        <v>35</v>
      </c>
    </row>
    <row r="74" spans="1:2" x14ac:dyDescent="0.3">
      <c r="A74" s="4" t="s">
        <v>27</v>
      </c>
      <c r="B74" s="1">
        <v>227</v>
      </c>
    </row>
    <row r="75" spans="1:2" x14ac:dyDescent="0.3">
      <c r="A75" s="4" t="s">
        <v>18</v>
      </c>
      <c r="B75" s="1">
        <v>237</v>
      </c>
    </row>
    <row r="76" spans="1:2" x14ac:dyDescent="0.3">
      <c r="A76" s="4" t="s">
        <v>4</v>
      </c>
      <c r="B76" s="1">
        <v>464</v>
      </c>
    </row>
    <row r="80" spans="1:2" x14ac:dyDescent="0.3">
      <c r="A80" s="3" t="s">
        <v>5</v>
      </c>
      <c r="B80" t="s">
        <v>45</v>
      </c>
    </row>
    <row r="81" spans="1:2" x14ac:dyDescent="0.3">
      <c r="A81" s="4" t="s">
        <v>44</v>
      </c>
      <c r="B81" s="12">
        <v>2</v>
      </c>
    </row>
    <row r="82" spans="1:2" x14ac:dyDescent="0.3">
      <c r="A82" s="4" t="s">
        <v>40</v>
      </c>
      <c r="B82" s="12">
        <v>6</v>
      </c>
    </row>
    <row r="83" spans="1:2" x14ac:dyDescent="0.3">
      <c r="A83" s="4" t="s">
        <v>37</v>
      </c>
      <c r="B83" s="12">
        <v>13</v>
      </c>
    </row>
    <row r="84" spans="1:2" x14ac:dyDescent="0.3">
      <c r="A84" s="4" t="s">
        <v>38</v>
      </c>
      <c r="B84" s="12">
        <v>14</v>
      </c>
    </row>
    <row r="85" spans="1:2" x14ac:dyDescent="0.3">
      <c r="A85" s="4" t="s">
        <v>43</v>
      </c>
      <c r="B85" s="12">
        <v>19</v>
      </c>
    </row>
    <row r="86" spans="1:2" x14ac:dyDescent="0.3">
      <c r="A86" s="4" t="s">
        <v>42</v>
      </c>
      <c r="B86" s="12">
        <v>67</v>
      </c>
    </row>
    <row r="87" spans="1:2" x14ac:dyDescent="0.3">
      <c r="A87" s="4" t="s">
        <v>39</v>
      </c>
      <c r="B87" s="12">
        <v>91</v>
      </c>
    </row>
    <row r="88" spans="1:2" x14ac:dyDescent="0.3">
      <c r="A88" s="4" t="s">
        <v>41</v>
      </c>
      <c r="B88" s="12">
        <v>252</v>
      </c>
    </row>
    <row r="89" spans="1:2" x14ac:dyDescent="0.3">
      <c r="A89" s="4" t="s">
        <v>4</v>
      </c>
      <c r="B89" s="1">
        <v>464</v>
      </c>
    </row>
    <row r="92" spans="1:2" x14ac:dyDescent="0.3">
      <c r="A92" s="3" t="s">
        <v>5</v>
      </c>
    </row>
    <row r="93" spans="1:2" x14ac:dyDescent="0.3">
      <c r="A93" s="4" t="s">
        <v>46</v>
      </c>
    </row>
    <row r="94" spans="1:2" x14ac:dyDescent="0.3">
      <c r="A94" s="4" t="s">
        <v>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A82C-106A-46A3-8FE2-CAC57F89A398}">
  <dimension ref="A1:M24"/>
  <sheetViews>
    <sheetView zoomScale="160" zoomScaleNormal="144" workbookViewId="0"/>
  </sheetViews>
  <sheetFormatPr defaultRowHeight="14.4" x14ac:dyDescent="0.3"/>
  <sheetData>
    <row r="1" spans="1:13" x14ac:dyDescent="0.3">
      <c r="A1" s="2"/>
      <c r="B1" s="2"/>
      <c r="C1" s="2"/>
      <c r="D1" s="2"/>
      <c r="E1" s="2"/>
      <c r="F1" s="2"/>
      <c r="G1" s="2"/>
      <c r="H1" s="2"/>
      <c r="I1" s="2"/>
      <c r="J1" s="2"/>
      <c r="K1" s="2"/>
      <c r="L1" s="2"/>
      <c r="M1" s="2"/>
    </row>
    <row r="2" spans="1:13" x14ac:dyDescent="0.3">
      <c r="A2" s="2"/>
      <c r="B2" s="2"/>
      <c r="C2" s="2"/>
      <c r="D2" s="2"/>
      <c r="E2" s="2"/>
      <c r="F2" s="2"/>
      <c r="G2" s="2"/>
      <c r="H2" s="2"/>
      <c r="I2" s="2"/>
      <c r="J2" s="2"/>
      <c r="K2" s="2"/>
      <c r="L2" s="2"/>
      <c r="M2" s="2"/>
    </row>
    <row r="3" spans="1:13" x14ac:dyDescent="0.3">
      <c r="A3" s="2"/>
      <c r="B3" s="2"/>
      <c r="C3" s="2"/>
      <c r="D3" s="2"/>
      <c r="E3" s="2"/>
      <c r="F3" s="2"/>
      <c r="G3" s="2"/>
      <c r="H3" s="2"/>
      <c r="I3" s="2"/>
      <c r="J3" s="2"/>
      <c r="K3" s="2"/>
      <c r="L3" s="2"/>
      <c r="M3" s="2"/>
    </row>
    <row r="4" spans="1:13" x14ac:dyDescent="0.3">
      <c r="A4" s="2"/>
      <c r="B4" s="2"/>
      <c r="C4" s="2"/>
      <c r="D4" s="2"/>
      <c r="E4" s="2"/>
      <c r="F4" s="2"/>
      <c r="G4" s="2"/>
      <c r="H4" s="2"/>
      <c r="I4" s="2"/>
      <c r="J4" s="2"/>
      <c r="K4" s="2"/>
      <c r="L4" s="2"/>
      <c r="M4" s="2"/>
    </row>
    <row r="5" spans="1:13" x14ac:dyDescent="0.3">
      <c r="A5" s="2"/>
      <c r="B5" s="2"/>
      <c r="C5" s="2"/>
      <c r="D5" s="2"/>
      <c r="E5" s="2"/>
      <c r="F5" s="2"/>
      <c r="G5" s="2"/>
      <c r="H5" s="2"/>
      <c r="I5" s="2"/>
      <c r="J5" s="2"/>
      <c r="K5" s="2"/>
      <c r="L5" s="2"/>
      <c r="M5" s="2"/>
    </row>
    <row r="6" spans="1:13" x14ac:dyDescent="0.3">
      <c r="A6" s="2"/>
      <c r="B6" s="2"/>
      <c r="C6" s="2"/>
      <c r="D6" s="2"/>
      <c r="E6" s="2"/>
      <c r="F6" s="2"/>
      <c r="G6" s="2"/>
      <c r="H6" s="2"/>
      <c r="I6" s="2"/>
      <c r="J6" s="2"/>
      <c r="K6" s="2"/>
      <c r="L6" s="2"/>
      <c r="M6" s="2"/>
    </row>
    <row r="7" spans="1:13" x14ac:dyDescent="0.3">
      <c r="A7" s="2"/>
      <c r="B7" s="2"/>
      <c r="C7" s="2"/>
      <c r="D7" s="2"/>
      <c r="E7" s="2"/>
      <c r="F7" s="2"/>
      <c r="G7" s="2"/>
      <c r="H7" s="2"/>
      <c r="I7" s="2"/>
      <c r="J7" s="2"/>
      <c r="K7" s="2"/>
      <c r="L7" s="2"/>
      <c r="M7" s="2"/>
    </row>
    <row r="8" spans="1:13" x14ac:dyDescent="0.3">
      <c r="A8" s="2"/>
      <c r="B8" s="2"/>
      <c r="C8" s="2"/>
      <c r="D8" s="2"/>
      <c r="E8" s="2"/>
      <c r="F8" s="2"/>
      <c r="G8" s="2"/>
      <c r="H8" s="2"/>
      <c r="I8" s="2"/>
      <c r="J8" s="2"/>
      <c r="K8" s="2"/>
      <c r="L8" s="2"/>
      <c r="M8" s="2"/>
    </row>
    <row r="9" spans="1:13" x14ac:dyDescent="0.3">
      <c r="A9" s="2"/>
      <c r="B9" s="2"/>
      <c r="C9" s="2"/>
      <c r="D9" s="2"/>
      <c r="E9" s="2"/>
      <c r="F9" s="2"/>
      <c r="G9" s="2"/>
      <c r="H9" s="2"/>
      <c r="I9" s="2"/>
      <c r="J9" s="2"/>
      <c r="K9" s="2"/>
      <c r="L9" s="2"/>
      <c r="M9" s="2"/>
    </row>
    <row r="10" spans="1:13" x14ac:dyDescent="0.3">
      <c r="A10" s="2"/>
      <c r="B10" s="2"/>
      <c r="C10" s="2"/>
      <c r="D10" s="2"/>
      <c r="E10" s="2"/>
      <c r="F10" s="2"/>
      <c r="G10" s="2"/>
      <c r="H10" s="2"/>
      <c r="I10" s="2"/>
      <c r="J10" s="2"/>
      <c r="K10" s="2"/>
      <c r="L10" s="2"/>
      <c r="M10" s="2"/>
    </row>
    <row r="11" spans="1:13" x14ac:dyDescent="0.3">
      <c r="A11" s="2"/>
      <c r="B11" s="2"/>
      <c r="C11" s="2"/>
      <c r="D11" s="2"/>
      <c r="E11" s="2"/>
      <c r="F11" s="2"/>
      <c r="G11" s="2"/>
      <c r="H11" s="2"/>
      <c r="I11" s="2"/>
      <c r="J11" s="2"/>
      <c r="K11" s="2"/>
      <c r="L11" s="2"/>
      <c r="M11" s="2"/>
    </row>
    <row r="12" spans="1:13" x14ac:dyDescent="0.3">
      <c r="A12" s="2"/>
      <c r="B12" s="2"/>
      <c r="C12" s="2"/>
      <c r="D12" s="2"/>
      <c r="E12" s="2"/>
      <c r="F12" s="2"/>
      <c r="G12" s="2"/>
      <c r="H12" s="2"/>
      <c r="I12" s="2"/>
      <c r="J12" s="2"/>
      <c r="K12" s="2"/>
      <c r="L12" s="2"/>
      <c r="M12" s="2"/>
    </row>
    <row r="13" spans="1:13" x14ac:dyDescent="0.3">
      <c r="A13" s="2"/>
      <c r="B13" s="2"/>
      <c r="C13" s="2"/>
      <c r="D13" s="2"/>
      <c r="E13" s="2"/>
      <c r="F13" s="2"/>
      <c r="G13" s="2"/>
      <c r="H13" s="2"/>
      <c r="I13" s="2"/>
      <c r="J13" s="2"/>
      <c r="K13" s="2"/>
      <c r="L13" s="2"/>
      <c r="M13" s="2"/>
    </row>
    <row r="14" spans="1:13" x14ac:dyDescent="0.3">
      <c r="A14" s="2"/>
      <c r="B14" s="2"/>
      <c r="C14" s="2"/>
      <c r="D14" s="2"/>
      <c r="E14" s="2"/>
      <c r="F14" s="2"/>
      <c r="G14" s="2"/>
      <c r="H14" s="2"/>
      <c r="I14" s="2"/>
      <c r="J14" s="2"/>
      <c r="K14" s="2"/>
      <c r="L14" s="2"/>
      <c r="M14" s="2"/>
    </row>
    <row r="15" spans="1:13" x14ac:dyDescent="0.3">
      <c r="A15" s="2"/>
      <c r="B15" s="2"/>
      <c r="C15" s="2"/>
      <c r="D15" s="2"/>
      <c r="E15" s="2"/>
      <c r="F15" s="2"/>
      <c r="G15" s="2"/>
      <c r="H15" s="2"/>
      <c r="I15" s="2"/>
      <c r="J15" s="2"/>
      <c r="K15" s="2"/>
      <c r="L15" s="2"/>
      <c r="M15" s="2"/>
    </row>
    <row r="16" spans="1:13" x14ac:dyDescent="0.3">
      <c r="A16" s="2"/>
      <c r="B16" s="2"/>
      <c r="C16" s="2"/>
      <c r="D16" s="2"/>
      <c r="E16" s="2"/>
      <c r="F16" s="2"/>
      <c r="G16" s="2"/>
      <c r="H16" s="2"/>
      <c r="I16" s="2"/>
      <c r="J16" s="2"/>
      <c r="K16" s="2"/>
      <c r="L16" s="2"/>
      <c r="M16" s="2"/>
    </row>
    <row r="20" spans="6:8" x14ac:dyDescent="0.3">
      <c r="H20" s="17"/>
    </row>
    <row r="24" spans="6:8" x14ac:dyDescent="0.3">
      <c r="F24" s="17"/>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78F79-3F17-451D-8C11-9575F9C59988}">
  <dimension ref="A1:J17"/>
  <sheetViews>
    <sheetView workbookViewId="0"/>
  </sheetViews>
  <sheetFormatPr defaultRowHeight="14.4" x14ac:dyDescent="0.3"/>
  <sheetData>
    <row r="1" spans="1:10" x14ac:dyDescent="0.3">
      <c r="A1" s="5"/>
      <c r="B1" s="5"/>
      <c r="C1" s="5"/>
      <c r="D1" s="5"/>
      <c r="E1" s="5"/>
      <c r="F1" s="5"/>
      <c r="G1" s="5"/>
      <c r="H1" s="5"/>
      <c r="I1" s="5"/>
      <c r="J1" s="5"/>
    </row>
    <row r="2" spans="1:10" x14ac:dyDescent="0.3">
      <c r="A2" s="5"/>
      <c r="B2" s="5"/>
      <c r="C2" s="5"/>
      <c r="D2" s="5"/>
      <c r="E2" s="5"/>
      <c r="F2" s="5"/>
      <c r="G2" s="5"/>
      <c r="H2" s="5"/>
      <c r="I2" s="5"/>
      <c r="J2" s="5"/>
    </row>
    <row r="3" spans="1:10" x14ac:dyDescent="0.3">
      <c r="A3" s="5"/>
      <c r="B3" s="5"/>
      <c r="C3" s="5"/>
      <c r="D3" s="5"/>
      <c r="E3" s="5"/>
      <c r="F3" s="5"/>
      <c r="G3" s="5"/>
      <c r="H3" s="5"/>
      <c r="I3" s="5"/>
      <c r="J3" s="5"/>
    </row>
    <row r="4" spans="1:10" x14ac:dyDescent="0.3">
      <c r="A4" s="5"/>
      <c r="B4" s="5"/>
      <c r="C4" s="5"/>
      <c r="D4" s="5"/>
      <c r="E4" s="5"/>
      <c r="F4" s="5"/>
      <c r="G4" s="5"/>
      <c r="H4" s="5"/>
      <c r="I4" s="5"/>
      <c r="J4" s="5"/>
    </row>
    <row r="5" spans="1:10" x14ac:dyDescent="0.3">
      <c r="A5" s="5"/>
      <c r="B5" s="5"/>
      <c r="C5" s="5"/>
      <c r="D5" s="5"/>
      <c r="E5" s="5"/>
      <c r="F5" s="5"/>
      <c r="G5" s="5"/>
      <c r="H5" s="5"/>
      <c r="I5" s="5"/>
      <c r="J5" s="5"/>
    </row>
    <row r="6" spans="1:10" x14ac:dyDescent="0.3">
      <c r="A6" s="5"/>
      <c r="B6" s="5"/>
      <c r="C6" s="5"/>
      <c r="D6" s="5"/>
      <c r="E6" s="5"/>
      <c r="F6" s="5"/>
      <c r="G6" s="5"/>
      <c r="H6" s="5"/>
      <c r="I6" s="5"/>
      <c r="J6" s="5"/>
    </row>
    <row r="7" spans="1:10" x14ac:dyDescent="0.3">
      <c r="A7" s="5"/>
      <c r="B7" s="5"/>
      <c r="C7" s="5"/>
      <c r="D7" s="5"/>
      <c r="E7" s="5"/>
      <c r="F7" s="5"/>
      <c r="G7" s="5"/>
      <c r="H7" s="5"/>
      <c r="I7" s="5"/>
      <c r="J7" s="5"/>
    </row>
    <row r="8" spans="1:10" x14ac:dyDescent="0.3">
      <c r="A8" s="5"/>
      <c r="B8" s="5"/>
      <c r="C8" s="5"/>
      <c r="D8" s="5"/>
      <c r="E8" s="5"/>
      <c r="F8" s="5"/>
      <c r="G8" s="5"/>
      <c r="H8" s="5"/>
      <c r="I8" s="5"/>
      <c r="J8" s="5"/>
    </row>
    <row r="9" spans="1:10" x14ac:dyDescent="0.3">
      <c r="A9" s="5"/>
      <c r="B9" s="5"/>
      <c r="C9" s="5"/>
      <c r="D9" s="5"/>
      <c r="E9" s="5"/>
      <c r="F9" s="5"/>
      <c r="G9" s="5"/>
      <c r="H9" s="5"/>
      <c r="I9" s="5"/>
      <c r="J9" s="5"/>
    </row>
    <row r="10" spans="1:10" x14ac:dyDescent="0.3">
      <c r="A10" s="5"/>
      <c r="B10" s="5"/>
      <c r="C10" s="5"/>
      <c r="D10" s="5"/>
      <c r="E10" s="5"/>
      <c r="F10" s="5"/>
      <c r="G10" s="5"/>
      <c r="H10" s="5"/>
      <c r="I10" s="5"/>
      <c r="J10" s="5"/>
    </row>
    <row r="11" spans="1:10" x14ac:dyDescent="0.3">
      <c r="A11" s="5"/>
      <c r="B11" s="5"/>
      <c r="C11" s="5"/>
      <c r="D11" s="5"/>
      <c r="E11" s="5"/>
      <c r="F11" s="5"/>
      <c r="G11" s="5"/>
      <c r="H11" s="5"/>
      <c r="I11" s="5"/>
      <c r="J11" s="5"/>
    </row>
    <row r="12" spans="1:10" x14ac:dyDescent="0.3">
      <c r="A12" s="5"/>
      <c r="B12" s="5"/>
      <c r="C12" s="5"/>
      <c r="D12" s="5"/>
      <c r="E12" s="5"/>
      <c r="F12" s="5"/>
      <c r="G12" s="5"/>
      <c r="H12" s="5"/>
      <c r="I12" s="5"/>
      <c r="J12" s="5"/>
    </row>
    <row r="13" spans="1:10" x14ac:dyDescent="0.3">
      <c r="A13" s="5"/>
      <c r="B13" s="5"/>
      <c r="C13" s="5"/>
      <c r="D13" s="5"/>
      <c r="E13" s="5"/>
      <c r="F13" s="5"/>
      <c r="G13" s="5"/>
      <c r="H13" s="5"/>
      <c r="I13" s="5"/>
      <c r="J13" s="5"/>
    </row>
    <row r="14" spans="1:10" x14ac:dyDescent="0.3">
      <c r="A14" s="5"/>
      <c r="B14" s="5"/>
      <c r="C14" s="5"/>
      <c r="D14" s="5"/>
      <c r="E14" s="5"/>
      <c r="F14" s="5"/>
      <c r="G14" s="5"/>
      <c r="H14" s="5"/>
      <c r="I14" s="5"/>
      <c r="J14" s="5"/>
    </row>
    <row r="15" spans="1:10" x14ac:dyDescent="0.3">
      <c r="A15" s="5"/>
      <c r="B15" s="5"/>
      <c r="C15" s="5"/>
      <c r="D15" s="5"/>
      <c r="E15" s="5"/>
      <c r="F15" s="5"/>
      <c r="G15" s="5"/>
      <c r="H15" s="5"/>
      <c r="I15" s="5"/>
      <c r="J15" s="5"/>
    </row>
    <row r="16" spans="1:10" x14ac:dyDescent="0.3">
      <c r="A16" s="5"/>
      <c r="B16" s="5"/>
      <c r="C16" s="5"/>
      <c r="D16" s="5"/>
      <c r="E16" s="5"/>
      <c r="F16" s="5"/>
      <c r="G16" s="5"/>
      <c r="H16" s="5"/>
      <c r="I16" s="5"/>
      <c r="J16" s="5"/>
    </row>
    <row r="17" spans="1:10" x14ac:dyDescent="0.3">
      <c r="A17" s="6"/>
      <c r="B17" s="7" t="s">
        <v>8</v>
      </c>
      <c r="C17" s="6"/>
      <c r="D17" s="6"/>
      <c r="E17" s="6"/>
      <c r="F17" s="6"/>
      <c r="G17" s="6"/>
      <c r="H17" s="6"/>
      <c r="I17" s="6"/>
      <c r="J1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0CC10-6A87-45FD-8993-BBDEA12EAC7A}">
  <dimension ref="A1:M19"/>
  <sheetViews>
    <sheetView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8" t="s">
        <v>9</v>
      </c>
      <c r="C19" s="5"/>
      <c r="D19" s="5"/>
      <c r="E19" s="5"/>
      <c r="F19" s="5"/>
      <c r="G19" s="5"/>
      <c r="H19" s="5"/>
      <c r="I19" s="5"/>
      <c r="J19" s="5"/>
      <c r="K19" s="5"/>
      <c r="L19" s="5"/>
      <c r="M19"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7327F-85D5-453F-AEF2-165CC13B7A70}">
  <dimension ref="A1:M20"/>
  <sheetViews>
    <sheetView workbookViewId="0"/>
  </sheetViews>
  <sheetFormatPr defaultRowHeight="14.4" x14ac:dyDescent="0.3"/>
  <sheetData>
    <row r="1" spans="1:13" x14ac:dyDescent="0.3">
      <c r="A1" s="5"/>
      <c r="B1" s="5"/>
      <c r="C1" s="5"/>
      <c r="D1" s="5"/>
      <c r="E1" s="5"/>
      <c r="F1" s="5"/>
      <c r="G1" s="5"/>
      <c r="H1" s="5"/>
      <c r="I1" s="5"/>
      <c r="J1" s="5"/>
      <c r="K1" s="5"/>
      <c r="L1" s="5"/>
      <c r="M1" s="5"/>
    </row>
    <row r="2" spans="1:13" x14ac:dyDescent="0.3">
      <c r="A2" s="5"/>
      <c r="B2" s="5"/>
      <c r="C2" s="5"/>
      <c r="D2" s="5"/>
      <c r="E2" s="5"/>
      <c r="F2" s="5"/>
      <c r="G2" s="5"/>
      <c r="H2" s="5"/>
      <c r="I2" s="5"/>
      <c r="J2" s="5"/>
      <c r="K2" s="5"/>
      <c r="L2" s="5"/>
      <c r="M2" s="5"/>
    </row>
    <row r="3" spans="1:13" x14ac:dyDescent="0.3">
      <c r="A3" s="5"/>
      <c r="B3" s="5"/>
      <c r="C3" s="5"/>
      <c r="D3" s="5"/>
      <c r="E3" s="5"/>
      <c r="F3" s="5"/>
      <c r="G3" s="5"/>
      <c r="H3" s="5"/>
      <c r="I3" s="5"/>
      <c r="J3" s="5"/>
      <c r="K3" s="5"/>
      <c r="L3" s="5"/>
      <c r="M3" s="5"/>
    </row>
    <row r="4" spans="1:13" x14ac:dyDescent="0.3">
      <c r="A4" s="5"/>
      <c r="B4" s="5"/>
      <c r="C4" s="5"/>
      <c r="D4" s="5"/>
      <c r="E4" s="5"/>
      <c r="F4" s="5"/>
      <c r="G4" s="5"/>
      <c r="H4" s="5"/>
      <c r="I4" s="5"/>
      <c r="J4" s="5"/>
      <c r="K4" s="5"/>
      <c r="L4" s="5"/>
      <c r="M4" s="5"/>
    </row>
    <row r="5" spans="1:13" x14ac:dyDescent="0.3">
      <c r="A5" s="5"/>
      <c r="B5" s="5"/>
      <c r="C5" s="5"/>
      <c r="D5" s="5"/>
      <c r="E5" s="5"/>
      <c r="F5" s="5"/>
      <c r="G5" s="5"/>
      <c r="H5" s="5"/>
      <c r="I5" s="5"/>
      <c r="J5" s="5"/>
      <c r="K5" s="5"/>
      <c r="L5" s="5"/>
      <c r="M5" s="5"/>
    </row>
    <row r="6" spans="1:13" x14ac:dyDescent="0.3">
      <c r="A6" s="5"/>
      <c r="B6" s="5"/>
      <c r="C6" s="5"/>
      <c r="D6" s="5"/>
      <c r="E6" s="5"/>
      <c r="F6" s="5"/>
      <c r="G6" s="5"/>
      <c r="H6" s="5"/>
      <c r="I6" s="5"/>
      <c r="J6" s="5"/>
      <c r="K6" s="5"/>
      <c r="L6" s="5"/>
      <c r="M6" s="5"/>
    </row>
    <row r="7" spans="1:13" x14ac:dyDescent="0.3">
      <c r="A7" s="5"/>
      <c r="B7" s="5"/>
      <c r="C7" s="5"/>
      <c r="D7" s="5"/>
      <c r="E7" s="5"/>
      <c r="F7" s="5"/>
      <c r="G7" s="5"/>
      <c r="H7" s="5"/>
      <c r="I7" s="5"/>
      <c r="J7" s="5"/>
      <c r="K7" s="5"/>
      <c r="L7" s="5"/>
      <c r="M7" s="5"/>
    </row>
    <row r="8" spans="1:13" x14ac:dyDescent="0.3">
      <c r="A8" s="5"/>
      <c r="B8" s="5"/>
      <c r="C8" s="5"/>
      <c r="D8" s="5"/>
      <c r="E8" s="5"/>
      <c r="F8" s="5"/>
      <c r="G8" s="5"/>
      <c r="H8" s="5"/>
      <c r="I8" s="5"/>
      <c r="J8" s="5"/>
      <c r="K8" s="5"/>
      <c r="L8" s="5"/>
      <c r="M8" s="5"/>
    </row>
    <row r="9" spans="1:13" x14ac:dyDescent="0.3">
      <c r="A9" s="5"/>
      <c r="B9" s="5"/>
      <c r="C9" s="5"/>
      <c r="D9" s="5"/>
      <c r="E9" s="5"/>
      <c r="F9" s="5"/>
      <c r="G9" s="5"/>
      <c r="H9" s="5"/>
      <c r="I9" s="5"/>
      <c r="J9" s="5"/>
      <c r="K9" s="5"/>
      <c r="L9" s="5"/>
      <c r="M9" s="5"/>
    </row>
    <row r="10" spans="1:13" x14ac:dyDescent="0.3">
      <c r="A10" s="5"/>
      <c r="B10" s="5"/>
      <c r="C10" s="5"/>
      <c r="D10" s="5"/>
      <c r="E10" s="5"/>
      <c r="F10" s="5"/>
      <c r="G10" s="5"/>
      <c r="H10" s="5"/>
      <c r="I10" s="5"/>
      <c r="J10" s="5"/>
      <c r="K10" s="5"/>
      <c r="L10" s="5"/>
      <c r="M10" s="5"/>
    </row>
    <row r="11" spans="1:13" x14ac:dyDescent="0.3">
      <c r="A11" s="5"/>
      <c r="B11" s="5"/>
      <c r="C11" s="5"/>
      <c r="D11" s="5"/>
      <c r="E11" s="5"/>
      <c r="F11" s="5"/>
      <c r="G11" s="5"/>
      <c r="H11" s="5"/>
      <c r="I11" s="5"/>
      <c r="J11" s="5"/>
      <c r="K11" s="5"/>
      <c r="L11" s="5"/>
      <c r="M11" s="5"/>
    </row>
    <row r="12" spans="1:13" x14ac:dyDescent="0.3">
      <c r="A12" s="5"/>
      <c r="B12" s="5"/>
      <c r="C12" s="5"/>
      <c r="D12" s="5"/>
      <c r="E12" s="5"/>
      <c r="F12" s="5"/>
      <c r="G12" s="5"/>
      <c r="H12" s="5"/>
      <c r="I12" s="5"/>
      <c r="J12" s="5"/>
      <c r="K12" s="5"/>
      <c r="L12" s="5"/>
      <c r="M12" s="5"/>
    </row>
    <row r="13" spans="1:13" x14ac:dyDescent="0.3">
      <c r="A13" s="5"/>
      <c r="B13" s="5"/>
      <c r="C13" s="5"/>
      <c r="D13" s="5"/>
      <c r="E13" s="5"/>
      <c r="F13" s="5"/>
      <c r="G13" s="5"/>
      <c r="H13" s="5"/>
      <c r="I13" s="5"/>
      <c r="J13" s="5"/>
      <c r="K13" s="5"/>
      <c r="L13" s="5"/>
      <c r="M13" s="5"/>
    </row>
    <row r="14" spans="1:13" x14ac:dyDescent="0.3">
      <c r="A14" s="5"/>
      <c r="B14" s="5"/>
      <c r="C14" s="5"/>
      <c r="D14" s="5"/>
      <c r="E14" s="5"/>
      <c r="F14" s="5"/>
      <c r="G14" s="5"/>
      <c r="H14" s="5"/>
      <c r="I14" s="5"/>
      <c r="J14" s="5"/>
      <c r="K14" s="5"/>
      <c r="L14" s="5"/>
      <c r="M14" s="5"/>
    </row>
    <row r="15" spans="1:13" x14ac:dyDescent="0.3">
      <c r="A15" s="5"/>
      <c r="B15" s="5"/>
      <c r="C15" s="5"/>
      <c r="D15" s="5"/>
      <c r="E15" s="5"/>
      <c r="F15" s="5"/>
      <c r="G15" s="5"/>
      <c r="H15" s="5"/>
      <c r="I15" s="5"/>
      <c r="J15" s="5"/>
      <c r="K15" s="5"/>
      <c r="L15" s="5"/>
      <c r="M15" s="5"/>
    </row>
    <row r="16" spans="1:13" x14ac:dyDescent="0.3">
      <c r="A16" s="5"/>
      <c r="B16" s="5"/>
      <c r="C16" s="5"/>
      <c r="D16" s="5"/>
      <c r="E16" s="5"/>
      <c r="F16" s="5"/>
      <c r="G16" s="5"/>
      <c r="H16" s="5"/>
      <c r="I16" s="5"/>
      <c r="J16" s="5"/>
      <c r="K16" s="5"/>
      <c r="L16" s="5"/>
      <c r="M16" s="5"/>
    </row>
    <row r="17" spans="1:13" x14ac:dyDescent="0.3">
      <c r="A17" s="5"/>
      <c r="B17" s="5"/>
      <c r="C17" s="5"/>
      <c r="D17" s="5"/>
      <c r="E17" s="5"/>
      <c r="F17" s="5"/>
      <c r="G17" s="5"/>
      <c r="H17" s="5"/>
      <c r="I17" s="5"/>
      <c r="J17" s="5"/>
      <c r="K17" s="5"/>
      <c r="L17" s="5"/>
      <c r="M17" s="5"/>
    </row>
    <row r="18" spans="1:13" x14ac:dyDescent="0.3">
      <c r="A18" s="5"/>
      <c r="B18" s="5"/>
      <c r="C18" s="5"/>
      <c r="D18" s="5"/>
      <c r="E18" s="5"/>
      <c r="F18" s="5"/>
      <c r="G18" s="5"/>
      <c r="H18" s="5"/>
      <c r="I18" s="5"/>
      <c r="J18" s="5"/>
      <c r="K18" s="5"/>
      <c r="L18" s="5"/>
      <c r="M18" s="5"/>
    </row>
    <row r="19" spans="1:13" x14ac:dyDescent="0.3">
      <c r="A19" s="5"/>
      <c r="B19" s="8" t="s">
        <v>11</v>
      </c>
      <c r="C19" s="5"/>
      <c r="D19" s="5"/>
      <c r="E19" s="5"/>
      <c r="F19" s="5"/>
      <c r="G19" s="5"/>
      <c r="H19" s="5"/>
      <c r="I19" s="5"/>
      <c r="J19" s="5"/>
      <c r="K19" s="5"/>
      <c r="L19" s="5"/>
      <c r="M19" s="5"/>
    </row>
    <row r="20" spans="1:13" x14ac:dyDescent="0.3">
      <c r="B20"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7E40026-E33E-47DE-B9F9-06B5A14C28EF}">
  <ds:schemaRefs/>
</ds:datastoreItem>
</file>

<file path=customXml/itemProps2.xml><?xml version="1.0" encoding="utf-8"?>
<ds:datastoreItem xmlns:ds="http://schemas.openxmlformats.org/officeDocument/2006/customXml" ds:itemID="{E4865305-4B41-4F3C-944D-08A9A5EA8646}">
  <ds:schemaRefs/>
</ds:datastoreItem>
</file>

<file path=customXml/itemProps3.xml><?xml version="1.0" encoding="utf-8"?>
<ds:datastoreItem xmlns:ds="http://schemas.openxmlformats.org/officeDocument/2006/customXml" ds:itemID="{2687FE83-5B5E-4D73-8A3D-776EBA8B4B5E}">
  <ds:schemaRefs/>
</ds:datastoreItem>
</file>

<file path=customXml/itemProps4.xml><?xml version="1.0" encoding="utf-8"?>
<ds:datastoreItem xmlns:ds="http://schemas.openxmlformats.org/officeDocument/2006/customXml" ds:itemID="{C85CDD60-B84C-4874-98BA-646A928F6E9D}">
  <ds:schemaRefs/>
</ds:datastoreItem>
</file>

<file path=customXml/itemProps5.xml><?xml version="1.0" encoding="utf-8"?>
<ds:datastoreItem xmlns:ds="http://schemas.openxmlformats.org/officeDocument/2006/customXml" ds:itemID="{1FBCE023-D1AF-4E28-8D93-D59ACBE3DD31}">
  <ds:schemaRefs/>
</ds:datastoreItem>
</file>

<file path=customXml/itemProps6.xml><?xml version="1.0" encoding="utf-8"?>
<ds:datastoreItem xmlns:ds="http://schemas.openxmlformats.org/officeDocument/2006/customXml" ds:itemID="{6DE0641B-1B28-4EFF-8D1C-BA39B68A8CAF}">
  <ds:schemaRefs/>
</ds:datastoreItem>
</file>

<file path=customXml/itemProps7.xml><?xml version="1.0" encoding="utf-8"?>
<ds:datastoreItem xmlns:ds="http://schemas.openxmlformats.org/officeDocument/2006/customXml" ds:itemID="{3F5DFFE0-5AB0-43EA-A738-658BAAB779AC}">
  <ds:schemaRefs/>
</ds:datastoreItem>
</file>

<file path=customXml/itemProps8.xml><?xml version="1.0" encoding="utf-8"?>
<ds:datastoreItem xmlns:ds="http://schemas.openxmlformats.org/officeDocument/2006/customXml" ds:itemID="{7FA5AB47-7B74-45DC-8573-C3DBE3B3CD28}">
  <ds:schemaRefs/>
</ds:datastoreItem>
</file>

<file path=customXml/itemProps9.xml><?xml version="1.0" encoding="utf-8"?>
<ds:datastoreItem xmlns:ds="http://schemas.openxmlformats.org/officeDocument/2006/customXml" ds:itemID="{DDF53062-4A5E-4EF6-B9D6-93EC3CDA6F5B}">
  <ds:schemaRefs/>
</ds:datastoreItem>
</file>

<file path=customXml/itemProps10.xml><?xml version="1.0" encoding="utf-8"?>
<ds:datastoreItem xmlns:ds="http://schemas.openxmlformats.org/officeDocument/2006/customXml" ds:itemID="{4961AD86-4C4B-4C8F-9A27-0F50626C5231}">
  <ds:schemaRefs>
    <ds:schemaRef ds:uri="http://schemas.microsoft.com/DataMashup"/>
  </ds:schemaRefs>
</ds:datastoreItem>
</file>

<file path=customXml/itemProps11.xml><?xml version="1.0" encoding="utf-8"?>
<ds:datastoreItem xmlns:ds="http://schemas.openxmlformats.org/officeDocument/2006/customXml" ds:itemID="{5D15073C-886A-4545-8A18-0008B93871BA}">
  <ds:schemaRefs/>
</ds:datastoreItem>
</file>

<file path=customXml/itemProps12.xml><?xml version="1.0" encoding="utf-8"?>
<ds:datastoreItem xmlns:ds="http://schemas.openxmlformats.org/officeDocument/2006/customXml" ds:itemID="{DA25B128-C914-4DE4-9A4C-AF5BE628AE53}">
  <ds:schemaRefs/>
</ds:datastoreItem>
</file>

<file path=customXml/itemProps13.xml><?xml version="1.0" encoding="utf-8"?>
<ds:datastoreItem xmlns:ds="http://schemas.openxmlformats.org/officeDocument/2006/customXml" ds:itemID="{2AB160AE-4A5C-4CD6-9323-8B2323291040}">
  <ds:schemaRefs/>
</ds:datastoreItem>
</file>

<file path=customXml/itemProps14.xml><?xml version="1.0" encoding="utf-8"?>
<ds:datastoreItem xmlns:ds="http://schemas.openxmlformats.org/officeDocument/2006/customXml" ds:itemID="{43DEED61-BD33-43A2-8B8D-4244ED92BB61}">
  <ds:schemaRefs/>
</ds:datastoreItem>
</file>

<file path=customXml/itemProps15.xml><?xml version="1.0" encoding="utf-8"?>
<ds:datastoreItem xmlns:ds="http://schemas.openxmlformats.org/officeDocument/2006/customXml" ds:itemID="{87F2563A-8CF9-4C8B-984C-04F8F4F1ACCA}">
  <ds:schemaRefs/>
</ds:datastoreItem>
</file>

<file path=customXml/itemProps16.xml><?xml version="1.0" encoding="utf-8"?>
<ds:datastoreItem xmlns:ds="http://schemas.openxmlformats.org/officeDocument/2006/customXml" ds:itemID="{C33BD9B6-53D4-4321-A185-75B10C2B776E}">
  <ds:schemaRefs/>
</ds:datastoreItem>
</file>

<file path=customXml/itemProps17.xml><?xml version="1.0" encoding="utf-8"?>
<ds:datastoreItem xmlns:ds="http://schemas.openxmlformats.org/officeDocument/2006/customXml" ds:itemID="{4FB4D26B-6032-473A-8836-22D4A3603EAB}">
  <ds:schemaRefs/>
</ds:datastoreItem>
</file>

<file path=customXml/itemProps18.xml><?xml version="1.0" encoding="utf-8"?>
<ds:datastoreItem xmlns:ds="http://schemas.openxmlformats.org/officeDocument/2006/customXml" ds:itemID="{15BEEA99-A3FC-47CB-91BA-9DACA7FDB8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Emer No of Patient</vt:lpstr>
      <vt:lpstr>Avg Waittime daily trend</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dubey</dc:creator>
  <cp:lastModifiedBy>raj dubey</cp:lastModifiedBy>
  <dcterms:created xsi:type="dcterms:W3CDTF">2026-07-14T06:27:58Z</dcterms:created>
  <dcterms:modified xsi:type="dcterms:W3CDTF">2026-09-07T08:19:06Z</dcterms:modified>
</cp:coreProperties>
</file>